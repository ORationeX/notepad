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  <sheet xmlns:r="http://schemas.openxmlformats.org/officeDocument/2006/relationships" name="작성예시" sheetId="2" state="visible" r:id="rId2"/>
    <sheet xmlns:r="http://schemas.openxmlformats.org/officeDocument/2006/relationships" name="실행과제대장" sheetId="3" state="visible" r:id="rId3"/>
    <sheet xmlns:r="http://schemas.openxmlformats.org/officeDocument/2006/relationships" name="작성기준" sheetId="4" state="visible" r:id="rId4"/>
    <sheet xmlns:r="http://schemas.openxmlformats.org/officeDocument/2006/relationships" name="목록" sheetId="5" state="hidden" r:id="rId5"/>
  </sheets>
  <definedNames>
    <definedName name="ListSecurity">목록!$A$2:$A$5</definedName>
    <definedName name="ListRetention">목록!$B$2:$B$5</definedName>
    <definedName name="ListDocStatus">목록!$C$2:$C$5</definedName>
    <definedName name="ListMeetingType">목록!$D$2:$D$11</definedName>
    <definedName name="ListMode">목록!$E$2:$E$4</definedName>
    <definedName name="ListRole">목록!$F$2:$F$6</definedName>
    <definedName name="ListAttend">목록!$G$2:$G$5</definedName>
    <definedName name="ListConfirm">목록!$H$2:$H$4</definedName>
    <definedName name="ListAgendaType">목록!$I$2:$I$6</definedName>
    <definedName name="ListDecision">목록!$J$2:$J$6</definedName>
    <definedName name="ListPriority">목록!$K$2:$K$5</definedName>
    <definedName name="ListActionStatus">목록!$L$2:$L$6</definedName>
    <definedName name="ListFollow">목록!$M$2:$M$6</definedName>
    <definedName name="ListDist">목록!$N$2:$N$5</definedName>
    <definedName name="ListCheck">목록!$O$2:$O$4</definedName>
    <definedName name="_xlnm.Print_Area" localSheetId="0">'회의록'!$A$1:$L$67</definedName>
    <definedName name="_xlnm.Print_Area" localSheetId="1">'작성예시'!$A$1:$L$67</definedName>
    <definedName name="_xlnm.Print_Titles" localSheetId="2">'실행과제대장'!$1:$8</definedName>
    <definedName name="_xlnm.Print_Area" localSheetId="2">'실행과제대장'!$A$1:$O$38</definedName>
    <definedName name="_xlnm.Print_Area" localSheetId="3">'작성기준'!$A$1:$H$44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HH:MM"/>
    <numFmt numFmtId="166" formatCode="0&quot;분&quot;"/>
    <numFmt numFmtId="167" formatCode="0.0&quot;일&quot;"/>
    <numFmt numFmtId="168" formatCode="0&quot;일&quot;;;"/>
  </numFmts>
  <fonts count="28">
    <font>
      <name val="Calibri"/>
      <family val="2"/>
      <color theme="1"/>
      <sz val="11"/>
      <scheme val="minor"/>
    </font>
    <font>
      <name val="맑은 고딕"/>
      <color rgb="006B5420"/>
      <sz val="9"/>
    </font>
    <font>
      <name val="맑은 고딕"/>
      <b val="1"/>
      <color rgb="001D4E89"/>
      <sz val="9"/>
    </font>
    <font>
      <name val="맑은 고딕"/>
      <b val="1"/>
      <color rgb="001B3A4B"/>
      <sz val="10"/>
    </font>
    <font>
      <name val="맑은 고딕"/>
      <color rgb="001F2933"/>
      <sz val="10"/>
    </font>
    <font>
      <name val="맑은 고딕"/>
      <b val="1"/>
      <color rgb="0017663A"/>
      <sz val="10"/>
    </font>
    <font>
      <name val="맑은 고딕"/>
      <b val="1"/>
      <color rgb="00FFFFFF"/>
      <sz val="9"/>
    </font>
    <font>
      <name val="맑은 고딕"/>
      <color rgb="008E99A4"/>
      <sz val="10"/>
    </font>
    <font>
      <name val="맑은 고딕"/>
      <b val="1"/>
      <color rgb="00FFFFFF"/>
      <sz val="11"/>
    </font>
    <font>
      <name val="맑은 고딕"/>
      <color rgb="005E6A75"/>
      <sz val="9"/>
    </font>
    <font>
      <name val="맑은 고딕"/>
      <b val="1"/>
      <color rgb="00FFFFFF"/>
      <sz val="8"/>
    </font>
    <font>
      <name val="맑은 고딕"/>
      <b val="1"/>
      <color rgb="00FFFFFF"/>
      <sz val="14"/>
    </font>
    <font>
      <name val="맑은 고딕"/>
      <b val="1"/>
      <color rgb="005E6A75"/>
      <sz val="8"/>
    </font>
    <font>
      <name val="맑은 고딕"/>
      <b val="1"/>
      <color rgb="0017663A"/>
      <sz val="14"/>
    </font>
    <font>
      <name val="맑은 고딕"/>
      <b val="1"/>
      <color rgb="001D4E89"/>
      <sz val="14"/>
    </font>
    <font>
      <name val="맑은 고딕"/>
      <b val="1"/>
      <color rgb="005E6A75"/>
      <sz val="14"/>
    </font>
    <font>
      <name val="맑은 고딕"/>
      <b val="1"/>
      <color rgb="008A5A00"/>
      <sz val="14"/>
    </font>
    <font>
      <name val="맑은 고딕"/>
      <b val="1"/>
      <color rgb="001B3A4B"/>
      <sz val="14"/>
    </font>
    <font>
      <name val="맑은 고딕"/>
      <color rgb="003E5160"/>
      <sz val="8"/>
    </font>
    <font>
      <name val="맑은 고딕"/>
      <b val="1"/>
      <color rgb="009B1C1C"/>
      <sz val="9"/>
    </font>
    <font>
      <name val="맑은 고딕"/>
      <b val="1"/>
      <color rgb="00FFFFFF"/>
      <sz val="20"/>
    </font>
    <font>
      <name val="맑은 고딕"/>
      <b val="1"/>
      <color rgb="001B3A4B"/>
      <sz val="16"/>
    </font>
    <font>
      <name val="맑은 고딕"/>
      <b val="1"/>
      <color rgb="0017663A"/>
      <sz val="16"/>
    </font>
    <font>
      <name val="맑은 고딕"/>
      <b val="1"/>
      <color rgb="001B3A4B"/>
      <sz val="11"/>
    </font>
    <font>
      <name val="맑은 고딕"/>
      <color rgb="009B1C1C"/>
      <sz val="10"/>
    </font>
    <font>
      <name val="맑은 고딕"/>
      <color rgb="0017663A"/>
      <sz val="10"/>
    </font>
    <font>
      <name val="맑은 고딕"/>
      <b val="1"/>
      <color rgb="001B3A4B"/>
      <sz val="12"/>
    </font>
    <font>
      <name val="맑은 고딕"/>
      <color rgb="001B3A4B"/>
      <sz val="9"/>
    </font>
  </fonts>
  <fills count="18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8F1DE"/>
      </patternFill>
    </fill>
    <fill>
      <patternFill patternType="solid">
        <fgColor rgb="00C4A35A"/>
      </patternFill>
    </fill>
    <fill>
      <patternFill patternType="solid">
        <fgColor rgb="00F3F6F9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24566C"/>
      </patternFill>
    </fill>
    <fill>
      <patternFill patternType="solid">
        <fgColor rgb="00EEF2F5"/>
      </patternFill>
    </fill>
    <fill>
      <patternFill patternType="solid">
        <fgColor rgb="00E5F6EC"/>
      </patternFill>
    </fill>
    <fill>
      <patternFill patternType="solid">
        <fgColor rgb="00E7F0FA"/>
      </patternFill>
    </fill>
    <fill>
      <patternFill patternType="solid">
        <fgColor rgb="00FFF3D6"/>
      </patternFill>
    </fill>
    <fill>
      <patternFill patternType="solid">
        <fgColor rgb="00FFFFFF"/>
      </patternFill>
    </fill>
    <fill>
      <patternFill patternType="solid">
        <fgColor rgb="00F4F7FB"/>
      </patternFill>
    </fill>
    <fill>
      <patternFill patternType="solid">
        <fgColor rgb="00FDECEC"/>
      </patternFill>
    </fill>
    <fill>
      <patternFill patternType="solid">
        <fgColor rgb="008C3A3A"/>
      </patternFill>
    </fill>
    <fill>
      <patternFill patternType="solid">
        <fgColor rgb="001F7A4D"/>
      </patternFill>
    </fill>
  </fills>
  <borders count="12">
    <border>
      <left/>
      <right/>
      <top/>
      <bottom/>
      <diagonal/>
    </border>
    <border/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  <border>
      <left/>
      <right/>
      <top style="thin">
        <color rgb="00D5DEE7"/>
      </top>
      <bottom/>
      <diagonal/>
    </border>
    <border>
      <left/>
      <right style="thin">
        <color rgb="00D5DEE7"/>
      </right>
      <top style="thin">
        <color rgb="00D5DEE7"/>
      </top>
      <bottom/>
      <diagonal/>
    </border>
    <border>
      <left/>
      <right/>
      <top style="thin">
        <color rgb="00D5DEE7"/>
      </top>
      <bottom style="thin">
        <color rgb="00D5DEE7"/>
      </bottom>
      <diagonal/>
    </border>
    <border>
      <left/>
      <right style="thin">
        <color rgb="00D5DEE7"/>
      </right>
      <top style="thin">
        <color rgb="00D5DEE7"/>
      </top>
      <bottom style="thin">
        <color rgb="00D5DEE7"/>
      </bottom>
      <diagonal/>
    </border>
    <border>
      <left style="medium">
        <color rgb="00C4A35A"/>
      </left>
      <right style="thin">
        <color rgb="001B3A4B"/>
      </right>
      <top style="thin">
        <color rgb="001B3A4B"/>
      </top>
      <bottom style="thin">
        <color rgb="001B3A4B"/>
      </bottom>
    </border>
    <border>
      <left/>
      <right/>
      <top style="thin">
        <color rgb="001B3A4B"/>
      </top>
      <bottom/>
      <diagonal/>
    </border>
    <border>
      <left/>
      <right style="thin">
        <color rgb="001B3A4B"/>
      </right>
      <top style="thin">
        <color rgb="001B3A4B"/>
      </top>
      <bottom/>
      <diagonal/>
    </border>
    <border>
      <left/>
      <right/>
      <top style="thin">
        <color rgb="001B3A4B"/>
      </top>
      <bottom style="thin">
        <color rgb="001B3A4B"/>
      </bottom>
      <diagonal/>
    </border>
    <border>
      <left/>
      <right style="thin">
        <color rgb="001B3A4B"/>
      </right>
      <top style="thin">
        <color rgb="001B3A4B"/>
      </top>
      <bottom style="thin">
        <color rgb="001B3A4B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6" pivotButton="0" quotePrefix="0" xfId="0"/>
    <xf numFmtId="0" fontId="6" fillId="2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164" fontId="4" fillId="6" borderId="2" applyAlignment="1" pivotButton="0" quotePrefix="0" xfId="0">
      <alignment horizontal="left" vertical="center" wrapText="1" indent="1"/>
    </xf>
    <xf numFmtId="164" fontId="5" fillId="7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4" fillId="6" borderId="2" applyAlignment="1" pivotButton="0" quotePrefix="0" xfId="0">
      <alignment horizontal="left" vertical="top" wrapText="1" indent="1"/>
    </xf>
    <xf numFmtId="165" fontId="4" fillId="6" borderId="2" applyAlignment="1" pivotButton="0" quotePrefix="0" xfId="0">
      <alignment horizontal="left" vertical="center" wrapText="1" indent="1"/>
    </xf>
    <xf numFmtId="166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" fontId="4" fillId="6" borderId="2" applyAlignment="1" pivotButton="0" quotePrefix="0" xfId="0">
      <alignment horizontal="left" vertical="center" wrapText="1" indent="1"/>
    </xf>
    <xf numFmtId="0" fontId="3" fillId="5" borderId="2" applyAlignment="1" pivotButton="0" quotePrefix="0" xfId="0">
      <alignment horizontal="right" vertical="center" wrapText="1"/>
    </xf>
    <xf numFmtId="0" fontId="9" fillId="9" borderId="2" applyAlignment="1" pivotButton="0" quotePrefix="0" xfId="0">
      <alignment horizontal="left" vertical="center" wrapText="1" indent="1"/>
    </xf>
    <xf numFmtId="0" fontId="10" fillId="2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center" vertical="center" wrapText="1"/>
    </xf>
    <xf numFmtId="9" fontId="11" fillId="2" borderId="2" applyAlignment="1" pivotButton="0" quotePrefix="0" xfId="0">
      <alignment horizontal="center" vertical="center" wrapText="1"/>
    </xf>
    <xf numFmtId="0" fontId="18" fillId="14" borderId="2" applyAlignment="1" pivotButton="0" quotePrefix="0" xfId="0">
      <alignment horizontal="left" vertical="center" wrapText="1" indent="1"/>
    </xf>
    <xf numFmtId="0" fontId="19" fillId="15" borderId="1" applyAlignment="1" pivotButton="0" quotePrefix="0" xfId="0">
      <alignment horizontal="left" vertical="center" wrapText="1" indent="1"/>
    </xf>
    <xf numFmtId="0" fontId="2" fillId="1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1" fillId="13" borderId="2" applyAlignment="1" pivotButton="0" quotePrefix="0" xfId="0">
      <alignment horizontal="center" vertical="center" wrapText="1"/>
    </xf>
    <xf numFmtId="9" fontId="22" fillId="10" borderId="2" applyAlignment="1" pivotButton="0" quotePrefix="0" xfId="0">
      <alignment horizontal="center" vertical="center" wrapText="1"/>
    </xf>
    <xf numFmtId="167" fontId="21" fillId="13" borderId="2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 indent="1"/>
    </xf>
    <xf numFmtId="164" fontId="4" fillId="6" borderId="2" applyAlignment="1" pivotButton="0" quotePrefix="0" xfId="0">
      <alignment horizontal="center" vertical="center" wrapText="1"/>
    </xf>
    <xf numFmtId="168" fontId="5" fillId="7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 indent="1"/>
    </xf>
    <xf numFmtId="0" fontId="11" fillId="8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left" vertical="center" wrapText="1" indent="1"/>
    </xf>
    <xf numFmtId="0" fontId="4" fillId="13" borderId="2" applyAlignment="1" pivotButton="0" quotePrefix="0" xfId="0">
      <alignment horizontal="left" vertical="center" wrapText="1" inden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24" fillId="15" borderId="2" applyAlignment="1" pivotButton="0" quotePrefix="0" xfId="0">
      <alignment horizontal="left" vertical="center" wrapText="1" indent="1"/>
    </xf>
    <xf numFmtId="0" fontId="25" fillId="10" borderId="2" applyAlignment="1" pivotButton="0" quotePrefix="0" xfId="0">
      <alignment horizontal="left" vertical="center" wrapText="1" indent="1"/>
    </xf>
    <xf numFmtId="0" fontId="26" fillId="7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 indent="1"/>
    </xf>
    <xf numFmtId="0" fontId="27" fillId="14" borderId="2" applyAlignment="1" pivotButton="0" quotePrefix="0" xfId="0">
      <alignment horizontal="left" vertical="center" wrapText="1" indent="1"/>
    </xf>
    <xf numFmtId="0" fontId="4" fillId="13" borderId="2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9">
    <dxf>
      <font>
        <name val="맑은 고딕"/>
        <b val="1"/>
        <color rgb="009B1C1C"/>
        <sz val="10"/>
      </font>
      <fill>
        <patternFill patternType="solid">
          <fgColor rgb="00FDECEC"/>
        </patternFill>
      </fill>
    </dxf>
    <dxf>
      <font>
        <name val="맑은 고딕"/>
        <b val="1"/>
        <color rgb="008A5A00"/>
        <sz val="10"/>
      </font>
      <fill>
        <patternFill patternType="solid">
          <fgColor rgb="00FFF3D6"/>
        </patternFill>
      </fill>
    </dxf>
    <dxf>
      <font>
        <name val="맑은 고딕"/>
        <b val="1"/>
        <color rgb="0017663A"/>
        <sz val="10"/>
      </font>
      <fill>
        <patternFill patternType="solid">
          <fgColor rgb="00E5F6EC"/>
        </patternFill>
      </fill>
    </dxf>
    <dxf>
      <font>
        <name val="맑은 고딕"/>
        <b val="1"/>
        <color rgb="001D4E89"/>
        <sz val="10"/>
      </font>
      <fill>
        <patternFill patternType="solid">
          <fgColor rgb="00E7F0FA"/>
        </patternFill>
      </fill>
    </dxf>
    <dxf>
      <font>
        <name val="맑은 고딕"/>
        <color rgb="005E6A75"/>
        <sz val="10"/>
      </font>
      <fill>
        <patternFill patternType="solid">
          <fgColor rgb="00EEF2F5"/>
        </patternFill>
      </fill>
    </dxf>
    <dxf>
      <font>
        <name val="맑은 고딕"/>
        <color rgb="008E99A4"/>
        <sz val="10"/>
      </font>
      <fill>
        <patternFill patternType="solid">
          <fgColor rgb="00EEF2F5"/>
        </patternFill>
      </fill>
    </dxf>
    <dxf>
      <font>
        <name val="맑은 고딕"/>
        <b val="1"/>
        <color rgb="009B1C1C"/>
        <sz val="16"/>
      </font>
      <fill>
        <patternFill patternType="solid">
          <fgColor rgb="00FDECEC"/>
        </patternFill>
      </fill>
    </dxf>
    <dxf>
      <font>
        <name val="맑은 고딕"/>
        <b val="1"/>
        <color rgb="0017663A"/>
        <sz val="12"/>
      </font>
      <fill>
        <patternFill patternType="solid">
          <fgColor rgb="00E5F6EC"/>
        </patternFill>
      </fill>
    </dxf>
    <dxf>
      <font>
        <name val="맑은 고딕"/>
        <b val="1"/>
        <color rgb="009B1C1C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작성기준</author>
  </authors>
  <commentList>
    <comment ref="B4" authorId="0" shapeId="0">
      <text>
        <t>부서코드-MTG-연도-일련번호. 예: SOL-MTG-2026-001. 같은 번호는 다시 쓰지 않습니다.</t>
      </text>
    </comment>
    <comment ref="E7" authorId="0" shapeId="0">
      <text>
        <t>회의일 다음 영업일입니다. 공휴일은 반영되지 않으니, 휴일이면 값을 직접 고치세요.</t>
      </text>
    </comment>
    <comment ref="B10" authorId="0" shapeId="0">
      <text>
        <t>한 문장으로 적습니다. 이 회의가 끝나면 무엇이 정해져 있어야 하는지로 씁니다.</t>
      </text>
    </comment>
    <comment ref="F45" authorId="0" shapeId="0">
      <text>
        <t>산출물 또는 확인 가능한 끝 상태. ‘검토 진행’처럼 끝이 없는 표현은 쓰지 않습니다.</t>
      </text>
    </comment>
    <comment ref="H45" authorId="0" shapeId="0">
      <text>
        <t>담당은 한 사람만 적습니다. 여럿이면 대표 1인을 담당으로, 나머지는 협조로 적습니다.</t>
      </text>
    </comment>
  </commentList>
</comments>
</file>

<file path=xl/comments/comment2.xml><?xml version="1.0" encoding="utf-8"?>
<comments xmlns="http://schemas.openxmlformats.org/spreadsheetml/2006/main">
  <authors>
    <author>작성기준</author>
  </authors>
  <commentList>
    <comment ref="B4" authorId="0" shapeId="0">
      <text>
        <t>부서코드-MTG-연도-일련번호. 예: SOL-MTG-2026-001. 같은 번호는 다시 쓰지 않습니다.</t>
      </text>
    </comment>
    <comment ref="E7" authorId="0" shapeId="0">
      <text>
        <t>회의일 다음 영업일입니다. 공휴일은 반영되지 않으니, 휴일이면 값을 직접 고치세요.</t>
      </text>
    </comment>
    <comment ref="B10" authorId="0" shapeId="0">
      <text>
        <t>한 문장으로 적습니다. 이 회의가 끝나면 무엇이 정해져 있어야 하는지로 씁니다.</t>
      </text>
    </comment>
    <comment ref="F45" authorId="0" shapeId="0">
      <text>
        <t>산출물 또는 확인 가능한 끝 상태. ‘검토 진행’처럼 끝이 없는 표현은 쓰지 않습니다.</t>
      </text>
    </comment>
    <comment ref="H45" authorId="0" shapeId="0">
      <text>
        <t>담당은 한 사람만 적습니다. 여럿이면 대표 1인을 담당으로, 나머지는 협조로 적습니다.</t>
      </text>
    </comment>
  </commentList>
</comments>
</file>

<file path=xl/tables/table1.xml><?xml version="1.0" encoding="utf-8"?>
<table xmlns="http://schemas.openxmlformats.org/spreadsheetml/2006/main" id="1" name="ActionLog" displayName="ActionLog" ref="A8:O38" headerRowCount="1">
  <autoFilter ref="A8:O38"/>
  <tableColumns count="15">
    <tableColumn id="1" name="회의일자"/>
    <tableColumn id="2" name="문서번호"/>
    <tableColumn id="3" name="회의명"/>
    <tableColumn id="4" name="No"/>
    <tableColumn id="5" name="실행과제"/>
    <tableColumn id="6" name="완료기준"/>
    <tableColumn id="7" name="담당부서"/>
    <tableColumn id="8" name="담당자"/>
    <tableColumn id="9" name="협조자"/>
    <tableColumn id="10" name="우선순위"/>
    <tableColumn id="11" name="완료기한"/>
    <tableColumn id="12" name="완료일"/>
    <tableColumn id="13" name="상태"/>
    <tableColumn id="14" name="지연일수"/>
    <tableColumn id="15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51089;&#49457;&#44592;&#51456;'!A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'&#54924;&#51032;&#47197;'!A1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B3A4B"/>
    <outlinePr summaryBelow="1" summaryRight="1"/>
    <pageSetUpPr fitToPage="0"/>
  </sheetPr>
  <dimension ref="A1:L67"/>
  <sheetViews>
    <sheetView showGridLines="0" view="normal" zoomScale="110" workbookViewId="0">
      <pane ySplit="3" topLeftCell="A4" activePane="bottomLeft" state="frozen"/>
      <selection pane="bottomLeft" activeCell="B4" sqref="B4"/>
    </sheetView>
  </sheetViews>
  <sheetFormatPr baseColWidth="8" defaultColWidth="11" defaultRowHeight="18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  <col width="13" customWidth="1" min="10" max="10"/>
    <col width="14" customWidth="1" min="11" max="11"/>
    <col width="15" customWidth="1" min="12" max="12"/>
  </cols>
  <sheetData>
    <row r="1" ht="46" customHeight="1">
      <c r="A1" s="1" t="inlineStr">
        <is>
          <r>
            <rPr>
              <rFont val="맑은 고딕"/>
              <b val="1"/>
              <color rgb="00C4A35A"/>
              <sz val="11"/>
            </rPr>
            <t>라인소프트(주)</t>
          </r>
          <r>
            <rPr>
              <rFont val="맑은 고딕"/>
              <color rgb="00D5DEE7"/>
              <sz val="11"/>
            </rPr>
            <t xml:space="preserve">   ·   </t>
          </r>
          <r>
            <rPr>
              <rFont val="맑은 고딕"/>
              <b val="1"/>
              <color rgb="00FFFFFF"/>
              <sz val="22"/>
            </rPr>
            <t>회 의 록</t>
          </r>
        </is>
      </c>
    </row>
    <row r="2" ht="20" customHeight="1">
      <c r="A2" s="2" t="inlineStr">
        <is>
          <t>황색 칸 입력   ·   녹색 칸 자동계산   ·   붉은 칸은 배포 전 보완   ·   목록이 있는 칸은 드롭다운에서 선택</t>
        </is>
      </c>
      <c r="K2" s="3" t="inlineStr">
        <is>
          <t>작성기준 →</t>
        </is>
      </c>
    </row>
    <row r="3" ht="5" customHeight="1">
      <c r="A3" s="4" t="n"/>
    </row>
    <row r="4" ht="20" customHeight="1">
      <c r="A4" s="5" t="inlineStr">
        <is>
          <t>문서번호</t>
        </is>
      </c>
      <c r="B4" s="6" t="n"/>
      <c r="C4" s="7" t="n"/>
      <c r="D4" s="8" t="n"/>
      <c r="E4" s="5" t="inlineStr">
        <is>
          <t>개정</t>
        </is>
      </c>
      <c r="F4" s="6" t="n"/>
      <c r="G4" s="7" t="n"/>
      <c r="H4" s="8" t="n"/>
      <c r="I4" s="9" t="inlineStr">
        <is>
          <t>구분</t>
        </is>
      </c>
      <c r="J4" s="9" t="inlineStr">
        <is>
          <t>작성</t>
        </is>
      </c>
      <c r="K4" s="9" t="inlineStr">
        <is>
          <t>검토</t>
        </is>
      </c>
      <c r="L4" s="9" t="inlineStr">
        <is>
          <t>승인</t>
        </is>
      </c>
    </row>
    <row r="5" ht="20" customHeight="1">
      <c r="A5" s="5" t="inlineStr">
        <is>
          <t>보안등급</t>
        </is>
      </c>
      <c r="B5" s="6" t="n"/>
      <c r="C5" s="7" t="n"/>
      <c r="D5" s="8" t="n"/>
      <c r="E5" s="5" t="inlineStr">
        <is>
          <t>보존기간</t>
        </is>
      </c>
      <c r="F5" s="6" t="n"/>
      <c r="G5" s="7" t="n"/>
      <c r="H5" s="8" t="n"/>
      <c r="I5" s="10" t="inlineStr">
        <is>
          <t>성명</t>
        </is>
      </c>
      <c r="J5" s="6" t="n"/>
      <c r="K5" s="6" t="n"/>
      <c r="L5" s="6" t="n"/>
    </row>
    <row r="6" ht="20" customHeight="1">
      <c r="A6" s="5" t="inlineStr">
        <is>
          <t>작성일자</t>
        </is>
      </c>
      <c r="B6" s="11" t="n"/>
      <c r="C6" s="7" t="n"/>
      <c r="D6" s="8" t="n"/>
      <c r="E6" s="5" t="inlineStr">
        <is>
          <t>개정사유</t>
        </is>
      </c>
      <c r="F6" s="6" t="n"/>
      <c r="G6" s="7" t="n"/>
      <c r="H6" s="8" t="n"/>
      <c r="I6" s="10" t="inlineStr">
        <is>
          <t>일자</t>
        </is>
      </c>
      <c r="J6" s="11" t="n"/>
      <c r="K6" s="11" t="n"/>
      <c r="L6" s="11" t="n"/>
    </row>
    <row r="7" ht="30" customHeight="1">
      <c r="A7" s="5" t="inlineStr">
        <is>
          <t>문서상태</t>
        </is>
      </c>
      <c r="B7" s="6" t="n"/>
      <c r="C7" s="8" t="n"/>
      <c r="D7" s="5" t="inlineStr">
        <is>
          <t>배포기한</t>
        </is>
      </c>
      <c r="E7" s="12">
        <f>IF(B11="","",WORKDAY(B11,1))</f>
        <v/>
      </c>
      <c r="F7" s="8" t="n"/>
      <c r="G7" s="5" t="inlineStr">
        <is>
          <t>이의마감</t>
        </is>
      </c>
      <c r="H7" s="12">
        <f>IF(E7="","",WORKDAY(E7,2))</f>
        <v/>
      </c>
      <c r="I7" s="10" t="inlineStr">
        <is>
          <t>서명</t>
        </is>
      </c>
      <c r="J7" s="13" t="inlineStr">
        <is>
          <t>(인)</t>
        </is>
      </c>
      <c r="K7" s="13" t="inlineStr">
        <is>
          <t>(인)</t>
        </is>
      </c>
      <c r="L7" s="13" t="inlineStr">
        <is>
          <t>(인)</t>
        </is>
      </c>
    </row>
    <row r="8" ht="22" customHeight="1">
      <c r="A8" s="14" t="inlineStr">
        <is>
          <t>1.  회의 개요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6" t="n"/>
    </row>
    <row r="9" ht="22" customHeight="1">
      <c r="A9" s="5" t="inlineStr">
        <is>
          <t>회의명</t>
        </is>
      </c>
      <c r="B9" s="6" t="n"/>
      <c r="C9" s="7" t="n"/>
      <c r="D9" s="7" t="n"/>
      <c r="E9" s="7" t="n"/>
      <c r="F9" s="7" t="n"/>
      <c r="G9" s="7" t="n"/>
      <c r="H9" s="8" t="n"/>
      <c r="I9" s="5" t="inlineStr">
        <is>
          <t>회의구분</t>
        </is>
      </c>
      <c r="J9" s="6" t="n"/>
      <c r="K9" s="7" t="n"/>
      <c r="L9" s="8" t="n"/>
    </row>
    <row r="10" ht="34" customHeight="1">
      <c r="A10" s="5" t="inlineStr">
        <is>
          <t>회의목적</t>
        </is>
      </c>
      <c r="B10" s="1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</row>
    <row r="11" ht="22" customHeight="1">
      <c r="A11" s="5" t="inlineStr">
        <is>
          <t>회의일시</t>
        </is>
      </c>
      <c r="B11" s="11" t="n"/>
      <c r="C11" s="8" t="n"/>
      <c r="D11" s="5" t="inlineStr">
        <is>
          <t>시작</t>
        </is>
      </c>
      <c r="E11" s="18" t="n"/>
      <c r="F11" s="5" t="inlineStr">
        <is>
          <t>종료</t>
        </is>
      </c>
      <c r="G11" s="18" t="n"/>
      <c r="H11" s="5" t="inlineStr">
        <is>
          <t>소요</t>
        </is>
      </c>
      <c r="I11" s="19">
        <f>IF(OR(E11="",G11=""),"",IF(G11&lt;E11,"시간확인",(G11-E11)*1440))</f>
        <v/>
      </c>
      <c r="J11" s="5" t="inlineStr">
        <is>
          <t>진행방식</t>
        </is>
      </c>
      <c r="K11" s="6" t="n"/>
      <c r="L11" s="8" t="n"/>
    </row>
    <row r="12" ht="22" customHeight="1">
      <c r="A12" s="5" t="inlineStr">
        <is>
          <t>장 소</t>
        </is>
      </c>
      <c r="B12" s="6" t="n"/>
      <c r="C12" s="7" t="n"/>
      <c r="D12" s="7" t="n"/>
      <c r="E12" s="7" t="n"/>
      <c r="F12" s="8" t="n"/>
      <c r="G12" s="5" t="inlineStr">
        <is>
          <t>접속정보</t>
        </is>
      </c>
      <c r="H12" s="6" t="n"/>
      <c r="I12" s="7" t="n"/>
      <c r="J12" s="7" t="n"/>
      <c r="K12" s="7" t="n"/>
      <c r="L12" s="8" t="n"/>
    </row>
    <row r="13" ht="22" customHeight="1">
      <c r="A13" s="5" t="inlineStr">
        <is>
          <t>주관부서</t>
        </is>
      </c>
      <c r="B13" s="6" t="n"/>
      <c r="C13" s="7" t="n"/>
      <c r="D13" s="8" t="n"/>
      <c r="E13" s="5" t="inlineStr">
        <is>
          <t>주재자</t>
        </is>
      </c>
      <c r="F13" s="6" t="n"/>
      <c r="G13" s="7" t="n"/>
      <c r="H13" s="8" t="n"/>
      <c r="I13" s="5" t="inlineStr">
        <is>
          <t>서 기</t>
        </is>
      </c>
      <c r="J13" s="6" t="n"/>
      <c r="K13" s="7" t="n"/>
      <c r="L13" s="8" t="n"/>
    </row>
    <row r="14" ht="22" customHeight="1">
      <c r="A14" s="14" t="inlineStr">
        <is>
          <t>2.  참석 현황     이름을 적으면 번호가 붙습니다. 불참·위임은 사유가 있어야 합니다.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6" t="n"/>
    </row>
    <row r="15" ht="28" customHeight="1">
      <c r="A15" s="20" t="inlineStr">
        <is>
          <t>No</t>
        </is>
      </c>
      <c r="B15" s="20" t="inlineStr">
        <is>
          <t>소속</t>
        </is>
      </c>
      <c r="C15" s="8" t="n"/>
      <c r="D15" s="20" t="inlineStr">
        <is>
          <t>성명</t>
        </is>
      </c>
      <c r="E15" s="20" t="inlineStr">
        <is>
          <t>직책</t>
        </is>
      </c>
      <c r="F15" s="20" t="inlineStr">
        <is>
          <t>역할</t>
        </is>
      </c>
      <c r="G15" s="20" t="inlineStr">
        <is>
          <t>참석구분</t>
        </is>
      </c>
      <c r="H15" s="20" t="inlineStr">
        <is>
          <t>위임·불참 사유</t>
        </is>
      </c>
      <c r="I15" s="7" t="n"/>
      <c r="J15" s="7" t="n"/>
      <c r="K15" s="8" t="n"/>
      <c r="L15" s="20" t="inlineStr">
        <is>
          <t>확인</t>
        </is>
      </c>
    </row>
    <row r="16" ht="20" customHeight="1">
      <c r="A16" s="21">
        <f>IF(D16="","",COUNTA($D$16:D16))</f>
        <v/>
      </c>
      <c r="B16" s="6" t="n"/>
      <c r="C16" s="8" t="n"/>
      <c r="D16" s="6" t="n"/>
      <c r="E16" s="6" t="n"/>
      <c r="F16" s="6" t="n"/>
      <c r="G16" s="6" t="n"/>
      <c r="H16" s="6" t="n"/>
      <c r="I16" s="7" t="n"/>
      <c r="J16" s="7" t="n"/>
      <c r="K16" s="8" t="n"/>
      <c r="L16" s="6" t="n"/>
    </row>
    <row r="17" ht="20" customHeight="1">
      <c r="A17" s="21">
        <f>IF(D17="","",COUNTA($D$16:D17))</f>
        <v/>
      </c>
      <c r="B17" s="6" t="n"/>
      <c r="C17" s="8" t="n"/>
      <c r="D17" s="6" t="n"/>
      <c r="E17" s="6" t="n"/>
      <c r="F17" s="6" t="n"/>
      <c r="G17" s="6" t="n"/>
      <c r="H17" s="6" t="n"/>
      <c r="I17" s="7" t="n"/>
      <c r="J17" s="7" t="n"/>
      <c r="K17" s="8" t="n"/>
      <c r="L17" s="6" t="n"/>
    </row>
    <row r="18" ht="20" customHeight="1">
      <c r="A18" s="21">
        <f>IF(D18="","",COUNTA($D$16:D18))</f>
        <v/>
      </c>
      <c r="B18" s="6" t="n"/>
      <c r="C18" s="8" t="n"/>
      <c r="D18" s="6" t="n"/>
      <c r="E18" s="6" t="n"/>
      <c r="F18" s="6" t="n"/>
      <c r="G18" s="6" t="n"/>
      <c r="H18" s="6" t="n"/>
      <c r="I18" s="7" t="n"/>
      <c r="J18" s="7" t="n"/>
      <c r="K18" s="8" t="n"/>
      <c r="L18" s="6" t="n"/>
    </row>
    <row r="19" ht="20" customHeight="1">
      <c r="A19" s="21">
        <f>IF(D19="","",COUNTA($D$16:D19))</f>
        <v/>
      </c>
      <c r="B19" s="6" t="n"/>
      <c r="C19" s="8" t="n"/>
      <c r="D19" s="6" t="n"/>
      <c r="E19" s="6" t="n"/>
      <c r="F19" s="6" t="n"/>
      <c r="G19" s="6" t="n"/>
      <c r="H19" s="6" t="n"/>
      <c r="I19" s="7" t="n"/>
      <c r="J19" s="7" t="n"/>
      <c r="K19" s="8" t="n"/>
      <c r="L19" s="6" t="n"/>
    </row>
    <row r="20" ht="20" customHeight="1">
      <c r="A20" s="21">
        <f>IF(D20="","",COUNTA($D$16:D20))</f>
        <v/>
      </c>
      <c r="B20" s="6" t="n"/>
      <c r="C20" s="8" t="n"/>
      <c r="D20" s="6" t="n"/>
      <c r="E20" s="6" t="n"/>
      <c r="F20" s="6" t="n"/>
      <c r="G20" s="6" t="n"/>
      <c r="H20" s="6" t="n"/>
      <c r="I20" s="7" t="n"/>
      <c r="J20" s="7" t="n"/>
      <c r="K20" s="8" t="n"/>
      <c r="L20" s="6" t="n"/>
    </row>
    <row r="21" ht="20" customHeight="1">
      <c r="A21" s="21">
        <f>IF(D21="","",COUNTA($D$16:D21))</f>
        <v/>
      </c>
      <c r="B21" s="6" t="n"/>
      <c r="C21" s="8" t="n"/>
      <c r="D21" s="6" t="n"/>
      <c r="E21" s="6" t="n"/>
      <c r="F21" s="6" t="n"/>
      <c r="G21" s="6" t="n"/>
      <c r="H21" s="6" t="n"/>
      <c r="I21" s="7" t="n"/>
      <c r="J21" s="7" t="n"/>
      <c r="K21" s="8" t="n"/>
      <c r="L21" s="6" t="n"/>
    </row>
    <row r="22" ht="20" customHeight="1">
      <c r="A22" s="21">
        <f>IF(D22="","",COUNTA($D$16:D22))</f>
        <v/>
      </c>
      <c r="B22" s="6" t="n"/>
      <c r="C22" s="8" t="n"/>
      <c r="D22" s="6" t="n"/>
      <c r="E22" s="6" t="n"/>
      <c r="F22" s="6" t="n"/>
      <c r="G22" s="6" t="n"/>
      <c r="H22" s="6" t="n"/>
      <c r="I22" s="7" t="n"/>
      <c r="J22" s="7" t="n"/>
      <c r="K22" s="8" t="n"/>
      <c r="L22" s="6" t="n"/>
    </row>
    <row r="23" ht="20" customHeight="1">
      <c r="A23" s="21">
        <f>IF(D23="","",COUNTA($D$16:D23))</f>
        <v/>
      </c>
      <c r="B23" s="6" t="n"/>
      <c r="C23" s="8" t="n"/>
      <c r="D23" s="6" t="n"/>
      <c r="E23" s="6" t="n"/>
      <c r="F23" s="6" t="n"/>
      <c r="G23" s="6" t="n"/>
      <c r="H23" s="6" t="n"/>
      <c r="I23" s="7" t="n"/>
      <c r="J23" s="7" t="n"/>
      <c r="K23" s="8" t="n"/>
      <c r="L23" s="6" t="n"/>
    </row>
    <row r="24" ht="22" customHeight="1">
      <c r="A24" s="5" t="inlineStr">
        <is>
          <t>대상</t>
        </is>
      </c>
      <c r="B24" s="21">
        <f>IF(COUNTA(D16:D23)=0,"",COUNTA(D16:D23))</f>
        <v/>
      </c>
      <c r="C24" s="8" t="n"/>
      <c r="D24" s="5" t="inlineStr">
        <is>
          <t>출석</t>
        </is>
      </c>
      <c r="E24" s="21">
        <f>IF(B24="","",COUNTIF(G16:G23,"참석")+COUNTIF(G16:G23,"화상참석"))</f>
        <v/>
      </c>
      <c r="F24" s="5" t="inlineStr">
        <is>
          <t>불참</t>
        </is>
      </c>
      <c r="G24" s="21">
        <f>IF(B24="","",COUNTIF(G16:G23,"불참"))</f>
        <v/>
      </c>
      <c r="H24" s="5" t="inlineStr">
        <is>
          <t>위임</t>
        </is>
      </c>
      <c r="I24" s="21">
        <f>IF(B24="","",COUNTIF(G16:G23,"위임"))</f>
        <v/>
      </c>
      <c r="J24" s="21">
        <f>IF(B24="","",IF(E24+G24+I24=B24,"인원 일치","인원 불일치"))</f>
        <v/>
      </c>
      <c r="K24" s="7" t="n"/>
      <c r="L24" s="8" t="n"/>
    </row>
    <row r="25" ht="22" customHeight="1">
      <c r="A25" s="14" t="inlineStr">
        <is>
          <t>3.  안건     배정 시간의 합이 소요 시간을 넘으면 합계가 붉게 표시됩니다.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6" t="n"/>
    </row>
    <row r="26" ht="28" customHeight="1">
      <c r="A26" s="20" t="inlineStr">
        <is>
          <t>No</t>
        </is>
      </c>
      <c r="B26" s="20" t="inlineStr">
        <is>
          <t>안건</t>
        </is>
      </c>
      <c r="C26" s="7" t="n"/>
      <c r="D26" s="7" t="n"/>
      <c r="E26" s="7" t="n"/>
      <c r="F26" s="7" t="n"/>
      <c r="G26" s="8" t="n"/>
      <c r="H26" s="20" t="inlineStr">
        <is>
          <t>발표·설명</t>
        </is>
      </c>
      <c r="I26" s="8" t="n"/>
      <c r="J26" s="20" t="inlineStr">
        <is>
          <t>배정(분)</t>
        </is>
      </c>
      <c r="K26" s="20" t="inlineStr">
        <is>
          <t>안건 유형</t>
        </is>
      </c>
      <c r="L26" s="8" t="n"/>
    </row>
    <row r="27" ht="20" customHeight="1">
      <c r="A27" s="21">
        <f>IF(B27="","",COUNTA($B$27:B27))</f>
        <v/>
      </c>
      <c r="B27" s="6" t="n"/>
      <c r="C27" s="7" t="n"/>
      <c r="D27" s="7" t="n"/>
      <c r="E27" s="7" t="n"/>
      <c r="F27" s="7" t="n"/>
      <c r="G27" s="8" t="n"/>
      <c r="H27" s="6" t="n"/>
      <c r="I27" s="8" t="n"/>
      <c r="J27" s="22" t="n"/>
      <c r="K27" s="6" t="n"/>
      <c r="L27" s="8" t="n"/>
    </row>
    <row r="28" ht="20" customHeight="1">
      <c r="A28" s="21">
        <f>IF(B28="","",COUNTA($B$27:B28))</f>
        <v/>
      </c>
      <c r="B28" s="6" t="n"/>
      <c r="C28" s="7" t="n"/>
      <c r="D28" s="7" t="n"/>
      <c r="E28" s="7" t="n"/>
      <c r="F28" s="7" t="n"/>
      <c r="G28" s="8" t="n"/>
      <c r="H28" s="6" t="n"/>
      <c r="I28" s="8" t="n"/>
      <c r="J28" s="22" t="n"/>
      <c r="K28" s="6" t="n"/>
      <c r="L28" s="8" t="n"/>
    </row>
    <row r="29" ht="20" customHeight="1">
      <c r="A29" s="21">
        <f>IF(B29="","",COUNTA($B$27:B29))</f>
        <v/>
      </c>
      <c r="B29" s="6" t="n"/>
      <c r="C29" s="7" t="n"/>
      <c r="D29" s="7" t="n"/>
      <c r="E29" s="7" t="n"/>
      <c r="F29" s="7" t="n"/>
      <c r="G29" s="8" t="n"/>
      <c r="H29" s="6" t="n"/>
      <c r="I29" s="8" t="n"/>
      <c r="J29" s="22" t="n"/>
      <c r="K29" s="6" t="n"/>
      <c r="L29" s="8" t="n"/>
    </row>
    <row r="30" ht="20" customHeight="1">
      <c r="A30" s="21">
        <f>IF(B30="","",COUNTA($B$27:B30))</f>
        <v/>
      </c>
      <c r="B30" s="6" t="n"/>
      <c r="C30" s="7" t="n"/>
      <c r="D30" s="7" t="n"/>
      <c r="E30" s="7" t="n"/>
      <c r="F30" s="7" t="n"/>
      <c r="G30" s="8" t="n"/>
      <c r="H30" s="6" t="n"/>
      <c r="I30" s="8" t="n"/>
      <c r="J30" s="22" t="n"/>
      <c r="K30" s="6" t="n"/>
      <c r="L30" s="8" t="n"/>
    </row>
    <row r="31" ht="20" customHeight="1">
      <c r="A31" s="21">
        <f>IF(B31="","",COUNTA($B$27:B31))</f>
        <v/>
      </c>
      <c r="B31" s="6" t="n"/>
      <c r="C31" s="7" t="n"/>
      <c r="D31" s="7" t="n"/>
      <c r="E31" s="7" t="n"/>
      <c r="F31" s="7" t="n"/>
      <c r="G31" s="8" t="n"/>
      <c r="H31" s="6" t="n"/>
      <c r="I31" s="8" t="n"/>
      <c r="J31" s="22" t="n"/>
      <c r="K31" s="6" t="n"/>
      <c r="L31" s="8" t="n"/>
    </row>
    <row r="32" ht="20" customHeight="1">
      <c r="A32" s="21">
        <f>IF(B32="","",COUNTA($B$27:B32))</f>
        <v/>
      </c>
      <c r="B32" s="6" t="n"/>
      <c r="C32" s="7" t="n"/>
      <c r="D32" s="7" t="n"/>
      <c r="E32" s="7" t="n"/>
      <c r="F32" s="7" t="n"/>
      <c r="G32" s="8" t="n"/>
      <c r="H32" s="6" t="n"/>
      <c r="I32" s="8" t="n"/>
      <c r="J32" s="22" t="n"/>
      <c r="K32" s="6" t="n"/>
      <c r="L32" s="8" t="n"/>
    </row>
    <row r="33" ht="20" customHeight="1">
      <c r="A33" s="23" t="inlineStr">
        <is>
          <t>배정 시간 합계</t>
        </is>
      </c>
      <c r="B33" s="7" t="n"/>
      <c r="C33" s="7" t="n"/>
      <c r="D33" s="7" t="n"/>
      <c r="E33" s="7" t="n"/>
      <c r="F33" s="7" t="n"/>
      <c r="G33" s="7" t="n"/>
      <c r="H33" s="7" t="n"/>
      <c r="I33" s="8" t="n"/>
      <c r="J33" s="19">
        <f>SUM(J27:J32)</f>
        <v/>
      </c>
      <c r="K33" s="21">
        <f>IF(OR(I11="",NOT(ISNUMBER(I11))),"",IF(J33&gt;I11,"배정 초과","시간 내"))</f>
        <v/>
      </c>
      <c r="L33" s="8" t="n"/>
    </row>
    <row r="34" ht="22" customHeight="1">
      <c r="A34" s="14" t="inlineStr">
        <is>
          <t>4.  논의 및 결정     논의(사실·의견)와 결정(합의된 결론)을 서로 다른 칸에 적습니다.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6" t="n"/>
    </row>
    <row r="35" ht="18" customHeight="1">
      <c r="A35" s="24" t="inlineStr">
        <is>
          <t>결정이 없는 안건은 결과에 ‘결정 없음’을 고릅니다. 조건부 가결은 이견·조건 칸에 조건을 적습니다.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</row>
    <row r="36" ht="28" customHeight="1">
      <c r="A36" s="20" t="inlineStr">
        <is>
          <t>No</t>
        </is>
      </c>
      <c r="B36" s="20" t="inlineStr">
        <is>
          <t>안건</t>
        </is>
      </c>
      <c r="C36" s="20" t="inlineStr">
        <is>
          <t>주요 논의</t>
        </is>
      </c>
      <c r="D36" s="7" t="n"/>
      <c r="E36" s="7" t="n"/>
      <c r="F36" s="8" t="n"/>
      <c r="G36" s="20" t="inlineStr">
        <is>
          <t>결정 내용</t>
        </is>
      </c>
      <c r="H36" s="7" t="n"/>
      <c r="I36" s="8" t="n"/>
      <c r="J36" s="20" t="inlineStr">
        <is>
          <t>결과</t>
        </is>
      </c>
      <c r="K36" s="20" t="inlineStr">
        <is>
          <t>이견·조건</t>
        </is>
      </c>
      <c r="L36" s="8" t="n"/>
    </row>
    <row r="37" ht="36" customHeight="1">
      <c r="A37" s="21">
        <f>IF(C37="","",COUNTA($C$37:C37))</f>
        <v/>
      </c>
      <c r="B37" s="6" t="n"/>
      <c r="C37" s="17" t="n"/>
      <c r="D37" s="7" t="n"/>
      <c r="E37" s="7" t="n"/>
      <c r="F37" s="8" t="n"/>
      <c r="G37" s="17" t="n"/>
      <c r="H37" s="7" t="n"/>
      <c r="I37" s="8" t="n"/>
      <c r="J37" s="6" t="n"/>
      <c r="K37" s="17" t="n"/>
      <c r="L37" s="8" t="n"/>
    </row>
    <row r="38" ht="36" customHeight="1">
      <c r="A38" s="21">
        <f>IF(C38="","",COUNTA($C$37:C38))</f>
        <v/>
      </c>
      <c r="B38" s="6" t="n"/>
      <c r="C38" s="17" t="n"/>
      <c r="D38" s="7" t="n"/>
      <c r="E38" s="7" t="n"/>
      <c r="F38" s="8" t="n"/>
      <c r="G38" s="17" t="n"/>
      <c r="H38" s="7" t="n"/>
      <c r="I38" s="8" t="n"/>
      <c r="J38" s="6" t="n"/>
      <c r="K38" s="17" t="n"/>
      <c r="L38" s="8" t="n"/>
    </row>
    <row r="39" ht="36" customHeight="1">
      <c r="A39" s="21">
        <f>IF(C39="","",COUNTA($C$37:C39))</f>
        <v/>
      </c>
      <c r="B39" s="6" t="n"/>
      <c r="C39" s="17" t="n"/>
      <c r="D39" s="7" t="n"/>
      <c r="E39" s="7" t="n"/>
      <c r="F39" s="8" t="n"/>
      <c r="G39" s="17" t="n"/>
      <c r="H39" s="7" t="n"/>
      <c r="I39" s="8" t="n"/>
      <c r="J39" s="6" t="n"/>
      <c r="K39" s="17" t="n"/>
      <c r="L39" s="8" t="n"/>
    </row>
    <row r="40" ht="36" customHeight="1">
      <c r="A40" s="21">
        <f>IF(C40="","",COUNTA($C$37:C40))</f>
        <v/>
      </c>
      <c r="B40" s="6" t="n"/>
      <c r="C40" s="17" t="n"/>
      <c r="D40" s="7" t="n"/>
      <c r="E40" s="7" t="n"/>
      <c r="F40" s="8" t="n"/>
      <c r="G40" s="17" t="n"/>
      <c r="H40" s="7" t="n"/>
      <c r="I40" s="8" t="n"/>
      <c r="J40" s="6" t="n"/>
      <c r="K40" s="17" t="n"/>
      <c r="L40" s="8" t="n"/>
    </row>
    <row r="41" ht="36" customHeight="1">
      <c r="A41" s="21">
        <f>IF(C41="","",COUNTA($C$37:C41))</f>
        <v/>
      </c>
      <c r="B41" s="6" t="n"/>
      <c r="C41" s="17" t="n"/>
      <c r="D41" s="7" t="n"/>
      <c r="E41" s="7" t="n"/>
      <c r="F41" s="8" t="n"/>
      <c r="G41" s="17" t="n"/>
      <c r="H41" s="7" t="n"/>
      <c r="I41" s="8" t="n"/>
      <c r="J41" s="6" t="n"/>
      <c r="K41" s="17" t="n"/>
      <c r="L41" s="8" t="n"/>
    </row>
    <row r="42" ht="36" customHeight="1">
      <c r="A42" s="21">
        <f>IF(C42="","",COUNTA($C$37:C42))</f>
        <v/>
      </c>
      <c r="B42" s="6" t="n"/>
      <c r="C42" s="17" t="n"/>
      <c r="D42" s="7" t="n"/>
      <c r="E42" s="7" t="n"/>
      <c r="F42" s="8" t="n"/>
      <c r="G42" s="17" t="n"/>
      <c r="H42" s="7" t="n"/>
      <c r="I42" s="8" t="n"/>
      <c r="J42" s="6" t="n"/>
      <c r="K42" s="17" t="n"/>
      <c r="L42" s="8" t="n"/>
    </row>
    <row r="43" ht="22" customHeight="1">
      <c r="A43" s="14" t="inlineStr">
        <is>
          <t>5.  실행 과제     담당은 1인, 완료 기준과 기한은 필수입니다. 빈 칸과 지난 기한은 붉게 표시됩니다.</t>
        </is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 t="n"/>
    </row>
    <row r="44" ht="18" customHeight="1">
      <c r="A44" s="24" t="inlineStr">
        <is>
          <t>완료 기준은 ‘무엇을 보면 끝났는지’로 적습니다. 예: 3개 사 비교표 1부.  협조는 지원이고, 완료 책임은 담당자에게 있습니다.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</row>
    <row r="45" ht="28" customHeight="1">
      <c r="A45" s="20" t="inlineStr">
        <is>
          <t>No</t>
        </is>
      </c>
      <c r="B45" s="20" t="inlineStr">
        <is>
          <t>안건</t>
        </is>
      </c>
      <c r="C45" s="20" t="inlineStr">
        <is>
          <t>실행 과제</t>
        </is>
      </c>
      <c r="D45" s="7" t="n"/>
      <c r="E45" s="8" t="n"/>
      <c r="F45" s="20" t="inlineStr">
        <is>
          <t>완료 기준</t>
        </is>
      </c>
      <c r="G45" s="8" t="n"/>
      <c r="H45" s="20" t="inlineStr">
        <is>
          <t>담당</t>
        </is>
      </c>
      <c r="I45" s="20" t="inlineStr">
        <is>
          <t>협조</t>
        </is>
      </c>
      <c r="J45" s="20" t="inlineStr">
        <is>
          <t>우선순위</t>
        </is>
      </c>
      <c r="K45" s="20" t="inlineStr">
        <is>
          <t>완료기한</t>
        </is>
      </c>
      <c r="L45" s="20" t="inlineStr">
        <is>
          <t>상태</t>
        </is>
      </c>
    </row>
    <row r="46" ht="36" customHeight="1">
      <c r="A46" s="21">
        <f>IF(C46="","",COUNTA($C$46:C46))</f>
        <v/>
      </c>
      <c r="B46" s="6" t="n"/>
      <c r="C46" s="17" t="n"/>
      <c r="D46" s="7" t="n"/>
      <c r="E46" s="8" t="n"/>
      <c r="F46" s="17" t="n"/>
      <c r="G46" s="8" t="n"/>
      <c r="H46" s="6" t="n"/>
      <c r="I46" s="6" t="n"/>
      <c r="J46" s="6" t="n"/>
      <c r="K46" s="11" t="n"/>
      <c r="L46" s="6" t="n"/>
    </row>
    <row r="47" ht="36" customHeight="1">
      <c r="A47" s="21">
        <f>IF(C47="","",COUNTA($C$46:C47))</f>
        <v/>
      </c>
      <c r="B47" s="6" t="n"/>
      <c r="C47" s="17" t="n"/>
      <c r="D47" s="7" t="n"/>
      <c r="E47" s="8" t="n"/>
      <c r="F47" s="17" t="n"/>
      <c r="G47" s="8" t="n"/>
      <c r="H47" s="6" t="n"/>
      <c r="I47" s="6" t="n"/>
      <c r="J47" s="6" t="n"/>
      <c r="K47" s="11" t="n"/>
      <c r="L47" s="6" t="n"/>
    </row>
    <row r="48" ht="36" customHeight="1">
      <c r="A48" s="21">
        <f>IF(C48="","",COUNTA($C$46:C48))</f>
        <v/>
      </c>
      <c r="B48" s="6" t="n"/>
      <c r="C48" s="17" t="n"/>
      <c r="D48" s="7" t="n"/>
      <c r="E48" s="8" t="n"/>
      <c r="F48" s="17" t="n"/>
      <c r="G48" s="8" t="n"/>
      <c r="H48" s="6" t="n"/>
      <c r="I48" s="6" t="n"/>
      <c r="J48" s="6" t="n"/>
      <c r="K48" s="11" t="n"/>
      <c r="L48" s="6" t="n"/>
    </row>
    <row r="49" ht="36" customHeight="1">
      <c r="A49" s="21">
        <f>IF(C49="","",COUNTA($C$46:C49))</f>
        <v/>
      </c>
      <c r="B49" s="6" t="n"/>
      <c r="C49" s="17" t="n"/>
      <c r="D49" s="7" t="n"/>
      <c r="E49" s="8" t="n"/>
      <c r="F49" s="17" t="n"/>
      <c r="G49" s="8" t="n"/>
      <c r="H49" s="6" t="n"/>
      <c r="I49" s="6" t="n"/>
      <c r="J49" s="6" t="n"/>
      <c r="K49" s="11" t="n"/>
      <c r="L49" s="6" t="n"/>
    </row>
    <row r="50" ht="36" customHeight="1">
      <c r="A50" s="21">
        <f>IF(C50="","",COUNTA($C$46:C50))</f>
        <v/>
      </c>
      <c r="B50" s="6" t="n"/>
      <c r="C50" s="17" t="n"/>
      <c r="D50" s="7" t="n"/>
      <c r="E50" s="8" t="n"/>
      <c r="F50" s="17" t="n"/>
      <c r="G50" s="8" t="n"/>
      <c r="H50" s="6" t="n"/>
      <c r="I50" s="6" t="n"/>
      <c r="J50" s="6" t="n"/>
      <c r="K50" s="11" t="n"/>
      <c r="L50" s="6" t="n"/>
    </row>
    <row r="51" ht="36" customHeight="1">
      <c r="A51" s="21">
        <f>IF(C51="","",COUNTA($C$46:C51))</f>
        <v/>
      </c>
      <c r="B51" s="6" t="n"/>
      <c r="C51" s="17" t="n"/>
      <c r="D51" s="7" t="n"/>
      <c r="E51" s="8" t="n"/>
      <c r="F51" s="17" t="n"/>
      <c r="G51" s="8" t="n"/>
      <c r="H51" s="6" t="n"/>
      <c r="I51" s="6" t="n"/>
      <c r="J51" s="6" t="n"/>
      <c r="K51" s="11" t="n"/>
      <c r="L51" s="6" t="n"/>
    </row>
    <row r="52" ht="36" customHeight="1">
      <c r="A52" s="21">
        <f>IF(C52="","",COUNTA($C$46:C52))</f>
        <v/>
      </c>
      <c r="B52" s="6" t="n"/>
      <c r="C52" s="17" t="n"/>
      <c r="D52" s="7" t="n"/>
      <c r="E52" s="8" t="n"/>
      <c r="F52" s="17" t="n"/>
      <c r="G52" s="8" t="n"/>
      <c r="H52" s="6" t="n"/>
      <c r="I52" s="6" t="n"/>
      <c r="J52" s="6" t="n"/>
      <c r="K52" s="11" t="n"/>
      <c r="L52" s="6" t="n"/>
    </row>
    <row r="53" ht="36" customHeight="1">
      <c r="A53" s="21">
        <f>IF(C53="","",COUNTA($C$46:C53))</f>
        <v/>
      </c>
      <c r="B53" s="6" t="n"/>
      <c r="C53" s="17" t="n"/>
      <c r="D53" s="7" t="n"/>
      <c r="E53" s="8" t="n"/>
      <c r="F53" s="17" t="n"/>
      <c r="G53" s="8" t="n"/>
      <c r="H53" s="6" t="n"/>
      <c r="I53" s="6" t="n"/>
      <c r="J53" s="6" t="n"/>
      <c r="K53" s="11" t="n"/>
      <c r="L53" s="6" t="n"/>
    </row>
    <row r="54" ht="16" customHeight="1">
      <c r="A54" s="25" t="inlineStr">
        <is>
          <t>전체</t>
        </is>
      </c>
      <c r="B54" s="26" t="inlineStr">
        <is>
          <t>완료</t>
        </is>
      </c>
      <c r="C54" s="8" t="n"/>
      <c r="D54" s="26" t="inlineStr">
        <is>
          <t>진행</t>
        </is>
      </c>
      <c r="E54" s="8" t="n"/>
      <c r="F54" s="26" t="inlineStr">
        <is>
          <t>미착수</t>
        </is>
      </c>
      <c r="G54" s="8" t="n"/>
      <c r="H54" s="26" t="inlineStr">
        <is>
          <t>보류·취소</t>
        </is>
      </c>
      <c r="I54" s="8" t="n"/>
      <c r="J54" s="26" t="inlineStr">
        <is>
          <t>기한초과</t>
        </is>
      </c>
      <c r="K54" s="25" t="inlineStr">
        <is>
          <t>완료율</t>
        </is>
      </c>
      <c r="L54" s="8" t="n"/>
    </row>
    <row r="55" ht="24" customHeight="1">
      <c r="A55" s="27">
        <f>COUNTA(C46:C53)</f>
        <v/>
      </c>
      <c r="B55" s="28">
        <f>COUNTIF(L46:L53,"완료")</f>
        <v/>
      </c>
      <c r="C55" s="8" t="n"/>
      <c r="D55" s="29">
        <f>COUNTIF(L46:L53,"진행")</f>
        <v/>
      </c>
      <c r="E55" s="8" t="n"/>
      <c r="F55" s="30">
        <f>COUNTIF(L46:L53,"미착수")+SUMPRODUCT((C46:C53&lt;&gt;"")*(L46:L53=""))</f>
        <v/>
      </c>
      <c r="G55" s="8" t="n"/>
      <c r="H55" s="31">
        <f>COUNTIF(L46:L53,"보류")+COUNTIF(L46:L53,"취소")</f>
        <v/>
      </c>
      <c r="I55" s="8" t="n"/>
      <c r="J55" s="32">
        <f>SUMPRODUCT((C46:C53&lt;&gt;"")*(K46:K53&lt;&gt;"")*(K46:K53&lt;TODAY())*(L46:L53&lt;&gt;"완료")*(L46:L53&lt;&gt;"취소"))</f>
        <v/>
      </c>
      <c r="K55" s="33">
        <f>IF(A55=0,"-",B55/A55)</f>
        <v/>
      </c>
      <c r="L55" s="8" t="n"/>
    </row>
    <row r="56" ht="22" customHeight="1">
      <c r="A56" s="14" t="inlineStr">
        <is>
          <t>6.  전회 후속조치     이번 회의의 첫 확인 항목입니다. 지연 과제는 위 실행 과제에 다시 올립니다.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6" t="n"/>
    </row>
    <row r="57" ht="28" customHeight="1">
      <c r="A57" s="20" t="inlineStr">
        <is>
          <t>No</t>
        </is>
      </c>
      <c r="B57" s="20" t="inlineStr">
        <is>
          <t>전회 문서번호</t>
        </is>
      </c>
      <c r="C57" s="8" t="n"/>
      <c r="D57" s="20" t="inlineStr">
        <is>
          <t>과제</t>
        </is>
      </c>
      <c r="E57" s="7" t="n"/>
      <c r="F57" s="7" t="n"/>
      <c r="G57" s="8" t="n"/>
      <c r="H57" s="20" t="inlineStr">
        <is>
          <t>담당</t>
        </is>
      </c>
      <c r="I57" s="20" t="inlineStr">
        <is>
          <t>당초 기한</t>
        </is>
      </c>
      <c r="J57" s="20" t="inlineStr">
        <is>
          <t>이행결과</t>
        </is>
      </c>
      <c r="K57" s="20" t="inlineStr">
        <is>
          <t>비고</t>
        </is>
      </c>
      <c r="L57" s="8" t="n"/>
    </row>
    <row r="58" ht="20" customHeight="1">
      <c r="A58" s="21">
        <f>IF(D58="","",COUNTA($D$58:D58))</f>
        <v/>
      </c>
      <c r="B58" s="6" t="n"/>
      <c r="C58" s="8" t="n"/>
      <c r="D58" s="6" t="n"/>
      <c r="E58" s="7" t="n"/>
      <c r="F58" s="7" t="n"/>
      <c r="G58" s="8" t="n"/>
      <c r="H58" s="6" t="n"/>
      <c r="I58" s="11" t="n"/>
      <c r="J58" s="6" t="n"/>
      <c r="K58" s="6" t="n"/>
      <c r="L58" s="8" t="n"/>
    </row>
    <row r="59" ht="20" customHeight="1">
      <c r="A59" s="21">
        <f>IF(D59="","",COUNTA($D$58:D59))</f>
        <v/>
      </c>
      <c r="B59" s="6" t="n"/>
      <c r="C59" s="8" t="n"/>
      <c r="D59" s="6" t="n"/>
      <c r="E59" s="7" t="n"/>
      <c r="F59" s="7" t="n"/>
      <c r="G59" s="8" t="n"/>
      <c r="H59" s="6" t="n"/>
      <c r="I59" s="11" t="n"/>
      <c r="J59" s="6" t="n"/>
      <c r="K59" s="6" t="n"/>
      <c r="L59" s="8" t="n"/>
    </row>
    <row r="60" ht="20" customHeight="1">
      <c r="A60" s="21">
        <f>IF(D60="","",COUNTA($D$58:D60))</f>
        <v/>
      </c>
      <c r="B60" s="6" t="n"/>
      <c r="C60" s="8" t="n"/>
      <c r="D60" s="6" t="n"/>
      <c r="E60" s="7" t="n"/>
      <c r="F60" s="7" t="n"/>
      <c r="G60" s="8" t="n"/>
      <c r="H60" s="6" t="n"/>
      <c r="I60" s="11" t="n"/>
      <c r="J60" s="6" t="n"/>
      <c r="K60" s="6" t="n"/>
      <c r="L60" s="8" t="n"/>
    </row>
    <row r="61" ht="20" customHeight="1">
      <c r="A61" s="21">
        <f>IF(D61="","",COUNTA($D$58:D61))</f>
        <v/>
      </c>
      <c r="B61" s="6" t="n"/>
      <c r="C61" s="8" t="n"/>
      <c r="D61" s="6" t="n"/>
      <c r="E61" s="7" t="n"/>
      <c r="F61" s="7" t="n"/>
      <c r="G61" s="8" t="n"/>
      <c r="H61" s="6" t="n"/>
      <c r="I61" s="11" t="n"/>
      <c r="J61" s="6" t="n"/>
      <c r="K61" s="6" t="n"/>
      <c r="L61" s="8" t="n"/>
    </row>
    <row r="62" ht="22" customHeight="1">
      <c r="A62" s="14" t="inlineStr">
        <is>
          <t>7.  다음 회의 · 첨부 · 배포</t>
        </is>
      </c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6" t="n"/>
    </row>
    <row r="63" ht="26" customHeight="1">
      <c r="A63" s="5" t="inlineStr">
        <is>
          <t>다음 회의</t>
        </is>
      </c>
      <c r="B63" s="11" t="n"/>
      <c r="C63" s="8" t="n"/>
      <c r="D63" s="5" t="inlineStr">
        <is>
          <t>시 각</t>
        </is>
      </c>
      <c r="E63" s="18" t="n"/>
      <c r="F63" s="5" t="inlineStr">
        <is>
          <t>장 소</t>
        </is>
      </c>
      <c r="G63" s="6" t="n"/>
      <c r="H63" s="8" t="n"/>
      <c r="I63" s="5" t="inlineStr">
        <is>
          <t>예정 안건</t>
        </is>
      </c>
      <c r="J63" s="6" t="n"/>
      <c r="K63" s="7" t="n"/>
      <c r="L63" s="8" t="n"/>
    </row>
    <row r="64" ht="40" customHeight="1">
      <c r="A64" s="5" t="inlineStr">
        <is>
          <t>첨 부</t>
        </is>
      </c>
      <c r="B64" s="1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8" t="n"/>
    </row>
    <row r="65" ht="26" customHeight="1">
      <c r="A65" s="5" t="inlineStr">
        <is>
          <t>배포 대상</t>
        </is>
      </c>
      <c r="B65" s="6" t="n"/>
      <c r="C65" s="7" t="n"/>
      <c r="D65" s="7" t="n"/>
      <c r="E65" s="7" t="n"/>
      <c r="F65" s="7" t="n"/>
      <c r="G65" s="7" t="n"/>
      <c r="H65" s="8" t="n"/>
      <c r="I65" s="5" t="inlineStr">
        <is>
          <t>배포 방법</t>
        </is>
      </c>
      <c r="J65" s="6" t="n"/>
      <c r="K65" s="7" t="n"/>
      <c r="L65" s="8" t="n"/>
    </row>
    <row r="66" ht="36" customHeight="1">
      <c r="A66" s="5" t="inlineStr">
        <is>
          <t>특이사항</t>
        </is>
      </c>
      <c r="B66" s="1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8" t="n"/>
    </row>
    <row r="67" ht="56" customHeight="1">
      <c r="A67" s="34" t="inlineStr">
        <is>
          <t>본 회의록은 회의 종료 후 1영업일 이내 작성하여 배포한다. 참석자는 배포일로부터 2영업일 이내 이견을 서면으로 알리며, 그 기간에 이견이 없으면 참석자 전원이 내용을 확인한 것으로 본다. 실행과제의 완료 책임은 담당자 1인에게 있고, 기한을 넘긴 과제는 다음 회의 첫 안건에서 이행 결과를 확인한다.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</row>
  </sheetData>
  <mergeCells count="146">
    <mergeCell ref="G38:I38"/>
    <mergeCell ref="F5:H5"/>
    <mergeCell ref="C39:F39"/>
    <mergeCell ref="C47:E47"/>
    <mergeCell ref="K33:L33"/>
    <mergeCell ref="B22:C22"/>
    <mergeCell ref="H55:I55"/>
    <mergeCell ref="C37:F37"/>
    <mergeCell ref="C51:E51"/>
    <mergeCell ref="K26:L26"/>
    <mergeCell ref="B21:C21"/>
    <mergeCell ref="A33:I33"/>
    <mergeCell ref="D59:G59"/>
    <mergeCell ref="D60:G60"/>
    <mergeCell ref="B61:C61"/>
    <mergeCell ref="B6:D6"/>
    <mergeCell ref="K58:L58"/>
    <mergeCell ref="K2:L2"/>
    <mergeCell ref="B4:D4"/>
    <mergeCell ref="K42:L42"/>
    <mergeCell ref="C49:E49"/>
    <mergeCell ref="C41:F41"/>
    <mergeCell ref="A34:L34"/>
    <mergeCell ref="B55:C55"/>
    <mergeCell ref="B24:C24"/>
    <mergeCell ref="G36:I36"/>
    <mergeCell ref="G42:I42"/>
    <mergeCell ref="H12:L12"/>
    <mergeCell ref="B64:L64"/>
    <mergeCell ref="J13:L13"/>
    <mergeCell ref="B31:G31"/>
    <mergeCell ref="K28:L28"/>
    <mergeCell ref="K37:L37"/>
    <mergeCell ref="B63:C63"/>
    <mergeCell ref="C36:F36"/>
    <mergeCell ref="J24:L24"/>
    <mergeCell ref="B16:C16"/>
    <mergeCell ref="K30:L30"/>
    <mergeCell ref="F54:G54"/>
    <mergeCell ref="G37:I37"/>
    <mergeCell ref="D58:G58"/>
    <mergeCell ref="H54:I54"/>
    <mergeCell ref="J65:L65"/>
    <mergeCell ref="B18:C18"/>
    <mergeCell ref="A3:L3"/>
    <mergeCell ref="H15:K15"/>
    <mergeCell ref="K55:L55"/>
    <mergeCell ref="B66:L66"/>
    <mergeCell ref="C46:E46"/>
    <mergeCell ref="H23:K23"/>
    <mergeCell ref="H18:K18"/>
    <mergeCell ref="J63:L63"/>
    <mergeCell ref="B11:C11"/>
    <mergeCell ref="C52:E52"/>
    <mergeCell ref="K32:L32"/>
    <mergeCell ref="A14:L14"/>
    <mergeCell ref="K41:L41"/>
    <mergeCell ref="F45:G45"/>
    <mergeCell ref="C48:E48"/>
    <mergeCell ref="B5:D5"/>
    <mergeCell ref="F47:G47"/>
    <mergeCell ref="A43:L43"/>
    <mergeCell ref="G41:I41"/>
    <mergeCell ref="K27:L27"/>
    <mergeCell ref="F46:G46"/>
    <mergeCell ref="H28:I28"/>
    <mergeCell ref="A67:L67"/>
    <mergeCell ref="C40:F40"/>
    <mergeCell ref="D61:G61"/>
    <mergeCell ref="B15:C15"/>
    <mergeCell ref="F48:G48"/>
    <mergeCell ref="H17:K17"/>
    <mergeCell ref="B27:G27"/>
    <mergeCell ref="A2:J2"/>
    <mergeCell ref="H19:K19"/>
    <mergeCell ref="C50:E50"/>
    <mergeCell ref="B54:C54"/>
    <mergeCell ref="A25:L25"/>
    <mergeCell ref="B7:C7"/>
    <mergeCell ref="B9:H9"/>
    <mergeCell ref="B13:D13"/>
    <mergeCell ref="H31:I31"/>
    <mergeCell ref="K54:L54"/>
    <mergeCell ref="B29:G29"/>
    <mergeCell ref="B58:C58"/>
    <mergeCell ref="K60:L60"/>
    <mergeCell ref="K29:L29"/>
    <mergeCell ref="K11:L11"/>
    <mergeCell ref="F13:H13"/>
    <mergeCell ref="B60:C60"/>
    <mergeCell ref="K31:L31"/>
    <mergeCell ref="B17:C17"/>
    <mergeCell ref="F50:G50"/>
    <mergeCell ref="B57:C57"/>
    <mergeCell ref="K40:L40"/>
    <mergeCell ref="B19:C19"/>
    <mergeCell ref="B32:G32"/>
    <mergeCell ref="G40:I40"/>
    <mergeCell ref="A44:L44"/>
    <mergeCell ref="B26:G26"/>
    <mergeCell ref="F6:H6"/>
    <mergeCell ref="D55:E55"/>
    <mergeCell ref="E7:F7"/>
    <mergeCell ref="B20:C20"/>
    <mergeCell ref="G63:H63"/>
    <mergeCell ref="F49:G49"/>
    <mergeCell ref="K57:L57"/>
    <mergeCell ref="H16:K16"/>
    <mergeCell ref="D54:E54"/>
    <mergeCell ref="J9:L9"/>
    <mergeCell ref="H30:I30"/>
    <mergeCell ref="H22:K22"/>
    <mergeCell ref="H29:I29"/>
    <mergeCell ref="B59:C59"/>
    <mergeCell ref="B65:H65"/>
    <mergeCell ref="C38:F38"/>
    <mergeCell ref="A56:L56"/>
    <mergeCell ref="K36:L36"/>
    <mergeCell ref="B12:F12"/>
    <mergeCell ref="F55:G55"/>
    <mergeCell ref="B28:G28"/>
    <mergeCell ref="F51:G51"/>
    <mergeCell ref="B23:C23"/>
    <mergeCell ref="A8:L8"/>
    <mergeCell ref="H20:K20"/>
    <mergeCell ref="B30:G30"/>
    <mergeCell ref="C42:F42"/>
    <mergeCell ref="A35:L35"/>
    <mergeCell ref="A62:L62"/>
    <mergeCell ref="K59:L59"/>
    <mergeCell ref="H32:I32"/>
    <mergeCell ref="C53:E53"/>
    <mergeCell ref="F4:H4"/>
    <mergeCell ref="B10:L10"/>
    <mergeCell ref="H21:K21"/>
    <mergeCell ref="D57:G57"/>
    <mergeCell ref="K61:L61"/>
    <mergeCell ref="K39:L39"/>
    <mergeCell ref="H27:I27"/>
    <mergeCell ref="F52:G52"/>
    <mergeCell ref="K38:L38"/>
    <mergeCell ref="C45:E45"/>
    <mergeCell ref="A1:L1"/>
    <mergeCell ref="G39:I39"/>
    <mergeCell ref="F53:G53"/>
    <mergeCell ref="H26:I26"/>
  </mergeCells>
  <conditionalFormatting sqref="G16:G23">
    <cfRule type="cellIs" priority="1" operator="equal" dxfId="0">
      <formula>"불참"</formula>
    </cfRule>
    <cfRule type="cellIs" priority="2" operator="equal" dxfId="1">
      <formula>"위임"</formula>
    </cfRule>
    <cfRule type="cellIs" priority="3" operator="equal" dxfId="2">
      <formula>"참석"</formula>
    </cfRule>
    <cfRule type="cellIs" priority="4" operator="equal" dxfId="3">
      <formula>"화상참석"</formula>
    </cfRule>
  </conditionalFormatting>
  <conditionalFormatting sqref="H16:H23">
    <cfRule type="expression" priority="5" dxfId="0">
      <formula>AND(OR(G16="불참",G16="위임"),H16="")</formula>
    </cfRule>
  </conditionalFormatting>
  <conditionalFormatting sqref="J24">
    <cfRule type="expression" priority="6" dxfId="2">
      <formula>J24="인원 일치"</formula>
    </cfRule>
    <cfRule type="expression" priority="7" dxfId="0">
      <formula>J24="인원 불일치"</formula>
    </cfRule>
  </conditionalFormatting>
  <conditionalFormatting sqref="K33">
    <cfRule type="expression" priority="8" dxfId="0">
      <formula>K33="배정 초과"</formula>
    </cfRule>
    <cfRule type="expression" priority="9" dxfId="2">
      <formula>K33="시간 내"</formula>
    </cfRule>
  </conditionalFormatting>
  <conditionalFormatting sqref="I11">
    <cfRule type="expression" priority="10" dxfId="0">
      <formula>I11="시간확인"</formula>
    </cfRule>
  </conditionalFormatting>
  <conditionalFormatting sqref="J37:J42">
    <cfRule type="cellIs" priority="11" operator="equal" dxfId="2">
      <formula>"가결"</formula>
    </cfRule>
    <cfRule type="cellIs" priority="12" operator="equal" dxfId="3">
      <formula>"조건부 가결"</formula>
    </cfRule>
    <cfRule type="cellIs" priority="13" operator="equal" dxfId="0">
      <formula>"부결"</formula>
    </cfRule>
    <cfRule type="cellIs" priority="14" operator="equal" dxfId="1">
      <formula>"보류"</formula>
    </cfRule>
    <cfRule type="cellIs" priority="15" operator="equal" dxfId="4">
      <formula>"결정 없음"</formula>
    </cfRule>
  </conditionalFormatting>
  <conditionalFormatting sqref="J46:J53">
    <cfRule type="cellIs" priority="16" operator="equal" dxfId="0">
      <formula>"긴급"</formula>
    </cfRule>
    <cfRule type="cellIs" priority="17" operator="equal" dxfId="1">
      <formula>"높음"</formula>
    </cfRule>
    <cfRule type="cellIs" priority="18" operator="equal" dxfId="3">
      <formula>"보통"</formula>
    </cfRule>
    <cfRule type="cellIs" priority="19" operator="equal" dxfId="4">
      <formula>"낮음"</formula>
    </cfRule>
  </conditionalFormatting>
  <conditionalFormatting sqref="L46:L53">
    <cfRule type="cellIs" priority="20" operator="equal" dxfId="2">
      <formula>"완료"</formula>
    </cfRule>
    <cfRule type="cellIs" priority="21" operator="equal" dxfId="3">
      <formula>"진행"</formula>
    </cfRule>
    <cfRule type="cellIs" priority="22" operator="equal" dxfId="4">
      <formula>"미착수"</formula>
    </cfRule>
    <cfRule type="cellIs" priority="23" operator="equal" dxfId="1">
      <formula>"보류"</formula>
    </cfRule>
    <cfRule type="cellIs" priority="24" operator="equal" dxfId="5">
      <formula>"취소"</formula>
    </cfRule>
    <cfRule type="expression" priority="28" dxfId="0">
      <formula>AND(C46&lt;&gt;"",L46="")</formula>
    </cfRule>
  </conditionalFormatting>
  <conditionalFormatting sqref="H46:H53">
    <cfRule type="expression" priority="25" dxfId="0">
      <formula>AND(C46&lt;&gt;"",H46="")</formula>
    </cfRule>
  </conditionalFormatting>
  <conditionalFormatting sqref="F46:F53">
    <cfRule type="expression" priority="26" dxfId="0">
      <formula>AND(C46&lt;&gt;"",F46="")</formula>
    </cfRule>
  </conditionalFormatting>
  <conditionalFormatting sqref="K46:K53">
    <cfRule type="expression" priority="27" dxfId="0">
      <formula>AND(C46&lt;&gt;"",K46="")</formula>
    </cfRule>
    <cfRule type="expression" priority="29" dxfId="0">
      <formula>AND(C46&lt;&gt;"",K46&lt;&gt;"",K46&lt;TODAY(),L46&lt;&gt;"완료",L46&lt;&gt;"취소")</formula>
    </cfRule>
  </conditionalFormatting>
  <conditionalFormatting sqref="J55">
    <cfRule type="expression" priority="30" dxfId="0">
      <formula>AND(ISNUMBER(J55),J55&gt;0)</formula>
    </cfRule>
  </conditionalFormatting>
  <conditionalFormatting sqref="J58:J61">
    <cfRule type="cellIs" priority="31" operator="equal" dxfId="2">
      <formula>"완료"</formula>
    </cfRule>
    <cfRule type="cellIs" priority="32" operator="equal" dxfId="0">
      <formula>"지연"</formula>
    </cfRule>
    <cfRule type="cellIs" priority="33" operator="equal" dxfId="3">
      <formula>"진행"</formula>
    </cfRule>
    <cfRule type="cellIs" priority="34" operator="equal" dxfId="1">
      <formula>"변경"</formula>
    </cfRule>
    <cfRule type="cellIs" priority="35" operator="equal" dxfId="4">
      <formula>"취소"</formula>
    </cfRule>
  </conditionalFormatting>
  <conditionalFormatting sqref="B5">
    <cfRule type="cellIs" priority="36" operator="equal" dxfId="0">
      <formula>"극비"</formula>
    </cfRule>
    <cfRule type="cellIs" priority="37" operator="equal" dxfId="1">
      <formula>"대외비"</formula>
    </cfRule>
    <cfRule type="cellIs" priority="38" operator="equal" dxfId="3">
      <formula>"사내한"</formula>
    </cfRule>
  </conditionalFormatting>
  <dataValidations count="14">
    <dataValidation sqref="B5" showDropDown="0" showInputMessage="0" showErrorMessage="1" allowBlank="1" errorTitle="입력 확인" error="목록에 있는 값을 선택해 주세요." type="list">
      <formula1>=ListSecurity</formula1>
    </dataValidation>
    <dataValidation sqref="F5" showDropDown="0" showInputMessage="0" showErrorMessage="1" allowBlank="1" errorTitle="입력 확인" error="목록에 있는 값을 선택해 주세요." type="list">
      <formula1>=ListRetention</formula1>
    </dataValidation>
    <dataValidation sqref="B7" showDropDown="0" showInputMessage="0" showErrorMessage="1" allowBlank="1" errorTitle="입력 확인" error="목록에 있는 값을 선택해 주세요." type="list">
      <formula1>=ListDocStatus</formula1>
    </dataValidation>
    <dataValidation sqref="J9" showDropDown="0" showInputMessage="0" showErrorMessage="1" allowBlank="1" errorTitle="입력 확인" error="목록에 있는 값을 선택해 주세요." type="list">
      <formula1>=ListMeetingType</formula1>
    </dataValidation>
    <dataValidation sqref="K11" showDropDown="0" showInputMessage="0" showErrorMessage="1" allowBlank="1" errorTitle="입력 확인" error="목록에 있는 값을 선택해 주세요." type="list">
      <formula1>=ListMode</formula1>
    </dataValidation>
    <dataValidation sqref="F16:F23" showDropDown="0" showInputMessage="0" showErrorMessage="1" allowBlank="1" errorTitle="입력 확인" error="목록에 있는 값을 선택해 주세요." type="list">
      <formula1>=ListRole</formula1>
    </dataValidation>
    <dataValidation sqref="G16:G23" showDropDown="0" showInputMessage="0" showErrorMessage="1" allowBlank="1" errorTitle="입력 확인" error="목록에 있는 값을 선택해 주세요." type="list">
      <formula1>=ListAttend</formula1>
    </dataValidation>
    <dataValidation sqref="L16:L23" showDropDown="0" showInputMessage="0" showErrorMessage="1" allowBlank="1" errorTitle="입력 확인" error="목록에 있는 값을 선택해 주세요." type="list">
      <formula1>=ListConfirm</formula1>
    </dataValidation>
    <dataValidation sqref="K27:K32" showDropDown="0" showInputMessage="0" showErrorMessage="1" allowBlank="1" errorTitle="입력 확인" error="목록에 있는 값을 선택해 주세요." type="list">
      <formula1>=ListAgendaType</formula1>
    </dataValidation>
    <dataValidation sqref="J37:J42" showDropDown="0" showInputMessage="0" showErrorMessage="1" allowBlank="1" errorTitle="입력 확인" error="목록에 있는 값을 선택해 주세요." type="list">
      <formula1>=ListDecision</formula1>
    </dataValidation>
    <dataValidation sqref="J46:J53" showDropDown="0" showInputMessage="0" showErrorMessage="1" allowBlank="1" errorTitle="입력 확인" error="목록에 있는 값을 선택해 주세요." type="list">
      <formula1>=ListPriority</formula1>
    </dataValidation>
    <dataValidation sqref="L46:L53" showDropDown="0" showInputMessage="0" showErrorMessage="1" allowBlank="1" errorTitle="입력 확인" error="목록에 있는 값을 선택해 주세요." type="list">
      <formula1>=ListActionStatus</formula1>
    </dataValidation>
    <dataValidation sqref="J58:J61" showDropDown="0" showInputMessage="0" showErrorMessage="1" allowBlank="1" errorTitle="입력 확인" error="목록에 있는 값을 선택해 주세요." type="list">
      <formula1>=ListFollow</formula1>
    </dataValidation>
    <dataValidation sqref="J65" showDropDown="0" showInputMessage="0" showErrorMessage="1" allowBlank="1" errorTitle="입력 확인" error="목록에 있는 값을 선택해 주세요." type="list">
      <formula1>=ListDist</formula1>
    </dataValidation>
  </dataValidations>
  <hyperlinks>
    <hyperlink xmlns:r="http://schemas.openxmlformats.org/officeDocument/2006/relationships" ref="K2" r:id="rId1"/>
  </hyperlinks>
  <printOptions horizontalCentered="1" gridLines="0"/>
  <pageMargins left="0.45" right="0.45" top="0.5" bottom="0.42" header="0.2" footer="0.2"/>
  <pageSetup orientation="landscape" paperSize="9" scale="90" fitToHeight="0" fitToWidth="1" pageOrder="downThenOver"/>
  <headerFooter>
    <oddHeader>&amp;L&amp;"맑은 고딕,Bold"&amp;9라인소프트(주)&amp;R&amp;"맑은 고딕"&amp;9회의록</oddHeader>
    <oddFooter>&amp;L&amp;"맑은 고딕"&amp;8빈 양식&amp;C&amp;"맑은 고딕"&amp;8&amp;P / &amp;N&amp;R&amp;"맑은 고딕"&amp;8종료 후 1영업일 내 배포</oddFooter>
    <evenHeader/>
    <evenFooter/>
    <firstHeader/>
    <firstFooter/>
  </headerFooter>
  <rowBreaks count="3" manualBreakCount="3">
    <brk id="24" min="0" max="16383" man="1"/>
    <brk id="42" min="0" max="16383" man="1"/>
    <brk id="61" min="0" max="16383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 fitToPage="0"/>
  </sheetPr>
  <dimension ref="A1:L67"/>
  <sheetViews>
    <sheetView showGridLines="0" view="normal" zoomScale="110" workbookViewId="0">
      <pane ySplit="3" topLeftCell="A4" activePane="bottomLeft" state="frozen"/>
      <selection pane="bottomLeft" activeCell="B4" sqref="B4"/>
    </sheetView>
  </sheetViews>
  <sheetFormatPr baseColWidth="8" defaultColWidth="11" defaultRowHeight="18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  <col width="13" customWidth="1" min="10" max="10"/>
    <col width="14" customWidth="1" min="11" max="11"/>
    <col width="15" customWidth="1" min="12" max="12"/>
  </cols>
  <sheetData>
    <row r="1" ht="46" customHeight="1">
      <c r="A1" s="1" t="inlineStr">
        <is>
          <r>
            <rPr>
              <rFont val="맑은 고딕"/>
              <b val="1"/>
              <color rgb="00C4A35A"/>
              <sz val="11"/>
            </rPr>
            <t>라인소프트(주)</t>
          </r>
          <r>
            <rPr>
              <rFont val="맑은 고딕"/>
              <color rgb="00D5DEE7"/>
              <sz val="11"/>
            </rPr>
            <t xml:space="preserve">   ·   </t>
          </r>
          <r>
            <rPr>
              <rFont val="맑은 고딕"/>
              <b val="1"/>
              <color rgb="00FFFFFF"/>
              <sz val="22"/>
            </rPr>
            <t>회 의 록</t>
          </r>
        </is>
      </c>
    </row>
    <row r="2" ht="20" customHeight="1">
      <c r="A2" s="35" t="inlineStr">
        <is>
          <t>예시입니다. 실제 기록은 [회의록] 시트에 작성하세요. 이 시트는 요령을 볼 때만 사용합니다.</t>
        </is>
      </c>
      <c r="K2" s="36" t="inlineStr">
        <is>
          <t>회의록 작성 →</t>
        </is>
      </c>
    </row>
    <row r="3" ht="5" customHeight="1">
      <c r="A3" s="4" t="n"/>
    </row>
    <row r="4" ht="20" customHeight="1">
      <c r="A4" s="5" t="inlineStr">
        <is>
          <t>문서번호</t>
        </is>
      </c>
      <c r="B4" s="6" t="inlineStr">
        <is>
          <t>SOL-MTG-2026-014</t>
        </is>
      </c>
      <c r="C4" s="7" t="n"/>
      <c r="D4" s="8" t="n"/>
      <c r="E4" s="5" t="inlineStr">
        <is>
          <t>개정</t>
        </is>
      </c>
      <c r="F4" s="37" t="n">
        <v>0</v>
      </c>
      <c r="G4" s="7" t="n"/>
      <c r="H4" s="8" t="n"/>
      <c r="I4" s="9" t="inlineStr">
        <is>
          <t>구분</t>
        </is>
      </c>
      <c r="J4" s="9" t="inlineStr">
        <is>
          <t>작성</t>
        </is>
      </c>
      <c r="K4" s="9" t="inlineStr">
        <is>
          <t>검토</t>
        </is>
      </c>
      <c r="L4" s="9" t="inlineStr">
        <is>
          <t>승인</t>
        </is>
      </c>
    </row>
    <row r="5" ht="20" customHeight="1">
      <c r="A5" s="5" t="inlineStr">
        <is>
          <t>보안등급</t>
        </is>
      </c>
      <c r="B5" s="6" t="inlineStr">
        <is>
          <t>사내한</t>
        </is>
      </c>
      <c r="C5" s="7" t="n"/>
      <c r="D5" s="8" t="n"/>
      <c r="E5" s="5" t="inlineStr">
        <is>
          <t>보존기간</t>
        </is>
      </c>
      <c r="F5" s="6" t="inlineStr">
        <is>
          <t>3년</t>
        </is>
      </c>
      <c r="G5" s="7" t="n"/>
      <c r="H5" s="8" t="n"/>
      <c r="I5" s="10" t="inlineStr">
        <is>
          <t>성명</t>
        </is>
      </c>
      <c r="J5" s="6" t="inlineStr">
        <is>
          <t>김민수</t>
        </is>
      </c>
      <c r="K5" s="6" t="inlineStr">
        <is>
          <t>홍길동</t>
        </is>
      </c>
      <c r="L5" s="6" t="inlineStr">
        <is>
          <t>한지훈</t>
        </is>
      </c>
    </row>
    <row r="6" ht="20" customHeight="1">
      <c r="A6" s="5" t="inlineStr">
        <is>
          <t>작성일자</t>
        </is>
      </c>
      <c r="B6" s="11" t="n">
        <v>46308</v>
      </c>
      <c r="C6" s="7" t="n"/>
      <c r="D6" s="8" t="n"/>
      <c r="E6" s="5" t="inlineStr">
        <is>
          <t>개정사유</t>
        </is>
      </c>
      <c r="F6" s="6" t="inlineStr">
        <is>
          <t>최초 작성</t>
        </is>
      </c>
      <c r="G6" s="7" t="n"/>
      <c r="H6" s="8" t="n"/>
      <c r="I6" s="10" t="inlineStr">
        <is>
          <t>일자</t>
        </is>
      </c>
      <c r="J6" s="11" t="n">
        <v>46308</v>
      </c>
      <c r="K6" s="11" t="n">
        <v>46308</v>
      </c>
      <c r="L6" s="11" t="n">
        <v>46308</v>
      </c>
    </row>
    <row r="7" ht="30" customHeight="1">
      <c r="A7" s="5" t="inlineStr">
        <is>
          <t>문서상태</t>
        </is>
      </c>
      <c r="B7" s="6" t="inlineStr">
        <is>
          <t>확정</t>
        </is>
      </c>
      <c r="C7" s="8" t="n"/>
      <c r="D7" s="5" t="inlineStr">
        <is>
          <t>배포기한</t>
        </is>
      </c>
      <c r="E7" s="12">
        <f>IF(B11="","",WORKDAY(B11,1))</f>
        <v/>
      </c>
      <c r="F7" s="8" t="n"/>
      <c r="G7" s="5" t="inlineStr">
        <is>
          <t>이의마감</t>
        </is>
      </c>
      <c r="H7" s="12">
        <f>IF(E7="","",WORKDAY(E7,2))</f>
        <v/>
      </c>
      <c r="I7" s="10" t="inlineStr">
        <is>
          <t>서명</t>
        </is>
      </c>
      <c r="J7" s="13" t="inlineStr">
        <is>
          <t>(인)</t>
        </is>
      </c>
      <c r="K7" s="13" t="inlineStr">
        <is>
          <t>(인)</t>
        </is>
      </c>
      <c r="L7" s="13" t="inlineStr">
        <is>
          <t>(인)</t>
        </is>
      </c>
    </row>
    <row r="8" ht="22" customHeight="1">
      <c r="A8" s="14" t="inlineStr">
        <is>
          <t>1.  회의 개요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6" t="n"/>
    </row>
    <row r="9" ht="22" customHeight="1">
      <c r="A9" s="5" t="inlineStr">
        <is>
          <t>회의명</t>
        </is>
      </c>
      <c r="B9" s="6" t="inlineStr">
        <is>
          <t>스마트팩토리 관제 고도화 주간점검</t>
        </is>
      </c>
      <c r="C9" s="7" t="n"/>
      <c r="D9" s="7" t="n"/>
      <c r="E9" s="7" t="n"/>
      <c r="F9" s="7" t="n"/>
      <c r="G9" s="7" t="n"/>
      <c r="H9" s="8" t="n"/>
      <c r="I9" s="5" t="inlineStr">
        <is>
          <t>회의구분</t>
        </is>
      </c>
      <c r="J9" s="6" t="inlineStr">
        <is>
          <t>정기</t>
        </is>
      </c>
      <c r="K9" s="7" t="n"/>
      <c r="L9" s="8" t="n"/>
    </row>
    <row r="10" ht="34" customHeight="1">
      <c r="A10" s="5" t="inlineStr">
        <is>
          <t>회의목적</t>
        </is>
      </c>
      <c r="B10" s="17" t="inlineStr">
        <is>
          <t>금주 개발 진척을 확인하고, 10/24 고객 시연 범위와 지연 과제의 만회 일정을 확정한다.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</row>
    <row r="11" ht="22" customHeight="1">
      <c r="A11" s="5" t="inlineStr">
        <is>
          <t>회의일시</t>
        </is>
      </c>
      <c r="B11" s="11" t="n">
        <v>46308</v>
      </c>
      <c r="C11" s="8" t="n"/>
      <c r="D11" s="5" t="inlineStr">
        <is>
          <t>시작</t>
        </is>
      </c>
      <c r="E11" s="18" t="n">
        <v>0.4166666666666667</v>
      </c>
      <c r="F11" s="5" t="inlineStr">
        <is>
          <t>종료</t>
        </is>
      </c>
      <c r="G11" s="18" t="n">
        <v>0.4652777777777778</v>
      </c>
      <c r="H11" s="5" t="inlineStr">
        <is>
          <t>소요</t>
        </is>
      </c>
      <c r="I11" s="19">
        <f>IF(OR(E11="",G11=""),"",IF(G11&lt;E11,"시간확인",(G11-E11)*1440))</f>
        <v/>
      </c>
      <c r="J11" s="5" t="inlineStr">
        <is>
          <t>진행방식</t>
        </is>
      </c>
      <c r="K11" s="6" t="inlineStr">
        <is>
          <t>하이브리드</t>
        </is>
      </c>
      <c r="L11" s="8" t="n"/>
    </row>
    <row r="12" ht="22" customHeight="1">
      <c r="A12" s="5" t="inlineStr">
        <is>
          <t>장 소</t>
        </is>
      </c>
      <c r="B12" s="6" t="inlineStr">
        <is>
          <t>본사 3층 대회의실</t>
        </is>
      </c>
      <c r="C12" s="7" t="n"/>
      <c r="D12" s="7" t="n"/>
      <c r="E12" s="7" t="n"/>
      <c r="F12" s="8" t="n"/>
      <c r="G12" s="5" t="inlineStr">
        <is>
          <t>접속정보</t>
        </is>
      </c>
      <c r="H12" s="6" t="inlineStr">
        <is>
          <t>Teams (일정 초대장의 링크)</t>
        </is>
      </c>
      <c r="I12" s="7" t="n"/>
      <c r="J12" s="7" t="n"/>
      <c r="K12" s="7" t="n"/>
      <c r="L12" s="8" t="n"/>
    </row>
    <row r="13" ht="22" customHeight="1">
      <c r="A13" s="5" t="inlineStr">
        <is>
          <t>주관부서</t>
        </is>
      </c>
      <c r="B13" s="6" t="inlineStr">
        <is>
          <t>솔루션개발팀</t>
        </is>
      </c>
      <c r="C13" s="7" t="n"/>
      <c r="D13" s="8" t="n"/>
      <c r="E13" s="5" t="inlineStr">
        <is>
          <t>주재자</t>
        </is>
      </c>
      <c r="F13" s="6" t="inlineStr">
        <is>
          <t>홍길동 팀장</t>
        </is>
      </c>
      <c r="G13" s="7" t="n"/>
      <c r="H13" s="8" t="n"/>
      <c r="I13" s="5" t="inlineStr">
        <is>
          <t>서 기</t>
        </is>
      </c>
      <c r="J13" s="6" t="inlineStr">
        <is>
          <t>김민수 책임</t>
        </is>
      </c>
      <c r="K13" s="7" t="n"/>
      <c r="L13" s="8" t="n"/>
    </row>
    <row r="14" ht="22" customHeight="1">
      <c r="A14" s="14" t="inlineStr">
        <is>
          <t>2.  참석 현황     이름을 적으면 번호가 붙습니다. 불참·위임은 사유가 있어야 합니다.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6" t="n"/>
    </row>
    <row r="15" ht="28" customHeight="1">
      <c r="A15" s="20" t="inlineStr">
        <is>
          <t>No</t>
        </is>
      </c>
      <c r="B15" s="20" t="inlineStr">
        <is>
          <t>소속</t>
        </is>
      </c>
      <c r="C15" s="8" t="n"/>
      <c r="D15" s="20" t="inlineStr">
        <is>
          <t>성명</t>
        </is>
      </c>
      <c r="E15" s="20" t="inlineStr">
        <is>
          <t>직책</t>
        </is>
      </c>
      <c r="F15" s="20" t="inlineStr">
        <is>
          <t>역할</t>
        </is>
      </c>
      <c r="G15" s="20" t="inlineStr">
        <is>
          <t>참석구분</t>
        </is>
      </c>
      <c r="H15" s="20" t="inlineStr">
        <is>
          <t>위임·불참 사유</t>
        </is>
      </c>
      <c r="I15" s="7" t="n"/>
      <c r="J15" s="7" t="n"/>
      <c r="K15" s="8" t="n"/>
      <c r="L15" s="20" t="inlineStr">
        <is>
          <t>확인</t>
        </is>
      </c>
    </row>
    <row r="16" ht="20" customHeight="1">
      <c r="A16" s="21">
        <f>IF(D16="","",COUNTA($D$16:D16))</f>
        <v/>
      </c>
      <c r="B16" s="6" t="inlineStr">
        <is>
          <t>솔루션개발팀</t>
        </is>
      </c>
      <c r="C16" s="8" t="n"/>
      <c r="D16" s="6" t="inlineStr">
        <is>
          <t>홍길동</t>
        </is>
      </c>
      <c r="E16" s="6" t="inlineStr">
        <is>
          <t>팀장</t>
        </is>
      </c>
      <c r="F16" s="6" t="inlineStr">
        <is>
          <t>주재</t>
        </is>
      </c>
      <c r="G16" s="6" t="inlineStr">
        <is>
          <t>참석</t>
        </is>
      </c>
      <c r="H16" s="6" t="inlineStr"/>
      <c r="I16" s="7" t="n"/>
      <c r="J16" s="7" t="n"/>
      <c r="K16" s="8" t="n"/>
      <c r="L16" s="6" t="inlineStr">
        <is>
          <t>확인</t>
        </is>
      </c>
    </row>
    <row r="17" ht="20" customHeight="1">
      <c r="A17" s="21">
        <f>IF(D17="","",COUNTA($D$16:D17))</f>
        <v/>
      </c>
      <c r="B17" s="6" t="inlineStr">
        <is>
          <t>솔루션개발팀</t>
        </is>
      </c>
      <c r="C17" s="8" t="n"/>
      <c r="D17" s="6" t="inlineStr">
        <is>
          <t>김민수</t>
        </is>
      </c>
      <c r="E17" s="6" t="inlineStr">
        <is>
          <t>책임</t>
        </is>
      </c>
      <c r="F17" s="6" t="inlineStr">
        <is>
          <t>서기</t>
        </is>
      </c>
      <c r="G17" s="6" t="inlineStr">
        <is>
          <t>참석</t>
        </is>
      </c>
      <c r="H17" s="6" t="inlineStr"/>
      <c r="I17" s="7" t="n"/>
      <c r="J17" s="7" t="n"/>
      <c r="K17" s="8" t="n"/>
      <c r="L17" s="6" t="inlineStr">
        <is>
          <t>확인</t>
        </is>
      </c>
    </row>
    <row r="18" ht="20" customHeight="1">
      <c r="A18" s="21">
        <f>IF(D18="","",COUNTA($D$16:D18))</f>
        <v/>
      </c>
      <c r="B18" s="6" t="inlineStr">
        <is>
          <t>솔루션개발팀</t>
        </is>
      </c>
      <c r="C18" s="8" t="n"/>
      <c r="D18" s="6" t="inlineStr">
        <is>
          <t>이서연</t>
        </is>
      </c>
      <c r="E18" s="6" t="inlineStr">
        <is>
          <t>선임</t>
        </is>
      </c>
      <c r="F18" s="6" t="inlineStr">
        <is>
          <t>발표</t>
        </is>
      </c>
      <c r="G18" s="6" t="inlineStr">
        <is>
          <t>참석</t>
        </is>
      </c>
      <c r="H18" s="6" t="inlineStr"/>
      <c r="I18" s="7" t="n"/>
      <c r="J18" s="7" t="n"/>
      <c r="K18" s="8" t="n"/>
      <c r="L18" s="6" t="inlineStr">
        <is>
          <t>확인</t>
        </is>
      </c>
    </row>
    <row r="19" ht="20" customHeight="1">
      <c r="A19" s="21">
        <f>IF(D19="","",COUNTA($D$16:D19))</f>
        <v/>
      </c>
      <c r="B19" s="6" t="inlineStr">
        <is>
          <t>품질관리팀</t>
        </is>
      </c>
      <c r="C19" s="8" t="n"/>
      <c r="D19" s="6" t="inlineStr">
        <is>
          <t>박지훈</t>
        </is>
      </c>
      <c r="E19" s="6" t="inlineStr">
        <is>
          <t>책임</t>
        </is>
      </c>
      <c r="F19" s="6" t="inlineStr">
        <is>
          <t>참석</t>
        </is>
      </c>
      <c r="G19" s="6" t="inlineStr">
        <is>
          <t>화상참석</t>
        </is>
      </c>
      <c r="H19" s="6" t="inlineStr"/>
      <c r="I19" s="7" t="n"/>
      <c r="J19" s="7" t="n"/>
      <c r="K19" s="8" t="n"/>
      <c r="L19" s="6" t="inlineStr">
        <is>
          <t>서면확인</t>
        </is>
      </c>
    </row>
    <row r="20" ht="20" customHeight="1">
      <c r="A20" s="21">
        <f>IF(D20="","",COUNTA($D$16:D20))</f>
        <v/>
      </c>
      <c r="B20" s="6" t="inlineStr">
        <is>
          <t>기획팀</t>
        </is>
      </c>
      <c r="C20" s="8" t="n"/>
      <c r="D20" s="6" t="inlineStr">
        <is>
          <t>최유진</t>
        </is>
      </c>
      <c r="E20" s="6" t="inlineStr">
        <is>
          <t>선임</t>
        </is>
      </c>
      <c r="F20" s="6" t="inlineStr">
        <is>
          <t>발표</t>
        </is>
      </c>
      <c r="G20" s="6" t="inlineStr">
        <is>
          <t>위임</t>
        </is>
      </c>
      <c r="H20" s="6" t="inlineStr">
        <is>
          <t>외부 교육 참석. 김민수에게 위임</t>
        </is>
      </c>
      <c r="I20" s="7" t="n"/>
      <c r="J20" s="7" t="n"/>
      <c r="K20" s="8" t="n"/>
      <c r="L20" s="6" t="inlineStr">
        <is>
          <t>서면확인</t>
        </is>
      </c>
    </row>
    <row r="21" ht="20" customHeight="1">
      <c r="A21" s="21">
        <f>IF(D21="","",COUNTA($D$16:D21))</f>
        <v/>
      </c>
      <c r="B21" s="6" t="n"/>
      <c r="C21" s="8" t="n"/>
      <c r="D21" s="6" t="n"/>
      <c r="E21" s="6" t="n"/>
      <c r="F21" s="6" t="n"/>
      <c r="G21" s="6" t="n"/>
      <c r="H21" s="6" t="n"/>
      <c r="I21" s="7" t="n"/>
      <c r="J21" s="7" t="n"/>
      <c r="K21" s="8" t="n"/>
      <c r="L21" s="6" t="n"/>
    </row>
    <row r="22" ht="20" customHeight="1">
      <c r="A22" s="21">
        <f>IF(D22="","",COUNTA($D$16:D22))</f>
        <v/>
      </c>
      <c r="B22" s="6" t="n"/>
      <c r="C22" s="8" t="n"/>
      <c r="D22" s="6" t="n"/>
      <c r="E22" s="6" t="n"/>
      <c r="F22" s="6" t="n"/>
      <c r="G22" s="6" t="n"/>
      <c r="H22" s="6" t="n"/>
      <c r="I22" s="7" t="n"/>
      <c r="J22" s="7" t="n"/>
      <c r="K22" s="8" t="n"/>
      <c r="L22" s="6" t="n"/>
    </row>
    <row r="23" ht="20" customHeight="1">
      <c r="A23" s="21">
        <f>IF(D23="","",COUNTA($D$16:D23))</f>
        <v/>
      </c>
      <c r="B23" s="6" t="n"/>
      <c r="C23" s="8" t="n"/>
      <c r="D23" s="6" t="n"/>
      <c r="E23" s="6" t="n"/>
      <c r="F23" s="6" t="n"/>
      <c r="G23" s="6" t="n"/>
      <c r="H23" s="6" t="n"/>
      <c r="I23" s="7" t="n"/>
      <c r="J23" s="7" t="n"/>
      <c r="K23" s="8" t="n"/>
      <c r="L23" s="6" t="n"/>
    </row>
    <row r="24" ht="22" customHeight="1">
      <c r="A24" s="5" t="inlineStr">
        <is>
          <t>대상</t>
        </is>
      </c>
      <c r="B24" s="21">
        <f>IF(COUNTA(D16:D23)=0,"",COUNTA(D16:D23))</f>
        <v/>
      </c>
      <c r="C24" s="8" t="n"/>
      <c r="D24" s="5" t="inlineStr">
        <is>
          <t>출석</t>
        </is>
      </c>
      <c r="E24" s="21">
        <f>IF(B24="","",COUNTIF(G16:G23,"참석")+COUNTIF(G16:G23,"화상참석"))</f>
        <v/>
      </c>
      <c r="F24" s="5" t="inlineStr">
        <is>
          <t>불참</t>
        </is>
      </c>
      <c r="G24" s="21">
        <f>IF(B24="","",COUNTIF(G16:G23,"불참"))</f>
        <v/>
      </c>
      <c r="H24" s="5" t="inlineStr">
        <is>
          <t>위임</t>
        </is>
      </c>
      <c r="I24" s="21">
        <f>IF(B24="","",COUNTIF(G16:G23,"위임"))</f>
        <v/>
      </c>
      <c r="J24" s="21">
        <f>IF(B24="","",IF(E24+G24+I24=B24,"인원 일치","인원 불일치"))</f>
        <v/>
      </c>
      <c r="K24" s="7" t="n"/>
      <c r="L24" s="8" t="n"/>
    </row>
    <row r="25" ht="22" customHeight="1">
      <c r="A25" s="14" t="inlineStr">
        <is>
          <t>3.  안건     배정 시간의 합이 소요 시간을 넘으면 합계가 붉게 표시됩니다.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6" t="n"/>
    </row>
    <row r="26" ht="28" customHeight="1">
      <c r="A26" s="20" t="inlineStr">
        <is>
          <t>No</t>
        </is>
      </c>
      <c r="B26" s="20" t="inlineStr">
        <is>
          <t>안건</t>
        </is>
      </c>
      <c r="C26" s="7" t="n"/>
      <c r="D26" s="7" t="n"/>
      <c r="E26" s="7" t="n"/>
      <c r="F26" s="7" t="n"/>
      <c r="G26" s="8" t="n"/>
      <c r="H26" s="20" t="inlineStr">
        <is>
          <t>발표·설명</t>
        </is>
      </c>
      <c r="I26" s="8" t="n"/>
      <c r="J26" s="20" t="inlineStr">
        <is>
          <t>배정(분)</t>
        </is>
      </c>
      <c r="K26" s="20" t="inlineStr">
        <is>
          <t>안건 유형</t>
        </is>
      </c>
      <c r="L26" s="8" t="n"/>
    </row>
    <row r="27" ht="20" customHeight="1">
      <c r="A27" s="21">
        <f>IF(B27="","",COUNTA($B$27:B27))</f>
        <v/>
      </c>
      <c r="B27" s="6" t="inlineStr">
        <is>
          <t>전회 실행과제 이행 확인</t>
        </is>
      </c>
      <c r="C27" s="7" t="n"/>
      <c r="D27" s="7" t="n"/>
      <c r="E27" s="7" t="n"/>
      <c r="F27" s="7" t="n"/>
      <c r="G27" s="8" t="n"/>
      <c r="H27" s="6" t="inlineStr">
        <is>
          <t>김민수</t>
        </is>
      </c>
      <c r="I27" s="8" t="n"/>
      <c r="J27" s="22" t="n">
        <v>10</v>
      </c>
      <c r="K27" s="6" t="inlineStr">
        <is>
          <t>보고</t>
        </is>
      </c>
      <c r="L27" s="8" t="n"/>
    </row>
    <row r="28" ht="20" customHeight="1">
      <c r="A28" s="21">
        <f>IF(B28="","",COUNTA($B$27:B28))</f>
        <v/>
      </c>
      <c r="B28" s="6" t="inlineStr">
        <is>
          <t>금주 개발 진척과 위험</t>
        </is>
      </c>
      <c r="C28" s="7" t="n"/>
      <c r="D28" s="7" t="n"/>
      <c r="E28" s="7" t="n"/>
      <c r="F28" s="7" t="n"/>
      <c r="G28" s="8" t="n"/>
      <c r="H28" s="6" t="inlineStr">
        <is>
          <t>이서연</t>
        </is>
      </c>
      <c r="I28" s="8" t="n"/>
      <c r="J28" s="22" t="n">
        <v>25</v>
      </c>
      <c r="K28" s="6" t="inlineStr">
        <is>
          <t>논의</t>
        </is>
      </c>
      <c r="L28" s="8" t="n"/>
    </row>
    <row r="29" ht="20" customHeight="1">
      <c r="A29" s="21">
        <f>IF(B29="","",COUNTA($B$27:B29))</f>
        <v/>
      </c>
      <c r="B29" s="6" t="inlineStr">
        <is>
          <t>고객 시연 범위 확정</t>
        </is>
      </c>
      <c r="C29" s="7" t="n"/>
      <c r="D29" s="7" t="n"/>
      <c r="E29" s="7" t="n"/>
      <c r="F29" s="7" t="n"/>
      <c r="G29" s="8" t="n"/>
      <c r="H29" s="6" t="inlineStr">
        <is>
          <t>홍길동</t>
        </is>
      </c>
      <c r="I29" s="8" t="n"/>
      <c r="J29" s="22" t="n">
        <v>30</v>
      </c>
      <c r="K29" s="6" t="inlineStr">
        <is>
          <t>의사결정</t>
        </is>
      </c>
      <c r="L29" s="8" t="n"/>
    </row>
    <row r="30" ht="20" customHeight="1">
      <c r="A30" s="21">
        <f>IF(B30="","",COUNTA($B$27:B30))</f>
        <v/>
      </c>
      <c r="B30" s="6" t="inlineStr">
        <is>
          <t>기타 공유</t>
        </is>
      </c>
      <c r="C30" s="7" t="n"/>
      <c r="D30" s="7" t="n"/>
      <c r="E30" s="7" t="n"/>
      <c r="F30" s="7" t="n"/>
      <c r="G30" s="8" t="n"/>
      <c r="H30" s="6" t="inlineStr">
        <is>
          <t>홍길동</t>
        </is>
      </c>
      <c r="I30" s="8" t="n"/>
      <c r="J30" s="22" t="n">
        <v>5</v>
      </c>
      <c r="K30" s="6" t="inlineStr">
        <is>
          <t>정보공유</t>
        </is>
      </c>
      <c r="L30" s="8" t="n"/>
    </row>
    <row r="31" ht="20" customHeight="1">
      <c r="A31" s="21">
        <f>IF(B31="","",COUNTA($B$27:B31))</f>
        <v/>
      </c>
      <c r="B31" s="6" t="n"/>
      <c r="C31" s="7" t="n"/>
      <c r="D31" s="7" t="n"/>
      <c r="E31" s="7" t="n"/>
      <c r="F31" s="7" t="n"/>
      <c r="G31" s="8" t="n"/>
      <c r="H31" s="6" t="n"/>
      <c r="I31" s="8" t="n"/>
      <c r="J31" s="22" t="n"/>
      <c r="K31" s="6" t="n"/>
      <c r="L31" s="8" t="n"/>
    </row>
    <row r="32" ht="20" customHeight="1">
      <c r="A32" s="21">
        <f>IF(B32="","",COUNTA($B$27:B32))</f>
        <v/>
      </c>
      <c r="B32" s="6" t="n"/>
      <c r="C32" s="7" t="n"/>
      <c r="D32" s="7" t="n"/>
      <c r="E32" s="7" t="n"/>
      <c r="F32" s="7" t="n"/>
      <c r="G32" s="8" t="n"/>
      <c r="H32" s="6" t="n"/>
      <c r="I32" s="8" t="n"/>
      <c r="J32" s="22" t="n"/>
      <c r="K32" s="6" t="n"/>
      <c r="L32" s="8" t="n"/>
    </row>
    <row r="33" ht="20" customHeight="1">
      <c r="A33" s="23" t="inlineStr">
        <is>
          <t>배정 시간 합계</t>
        </is>
      </c>
      <c r="B33" s="7" t="n"/>
      <c r="C33" s="7" t="n"/>
      <c r="D33" s="7" t="n"/>
      <c r="E33" s="7" t="n"/>
      <c r="F33" s="7" t="n"/>
      <c r="G33" s="7" t="n"/>
      <c r="H33" s="7" t="n"/>
      <c r="I33" s="8" t="n"/>
      <c r="J33" s="19">
        <f>SUM(J27:J32)</f>
        <v/>
      </c>
      <c r="K33" s="21">
        <f>IF(OR(I11="",NOT(ISNUMBER(I11))),"",IF(J33&gt;I11,"배정 초과","시간 내"))</f>
        <v/>
      </c>
      <c r="L33" s="8" t="n"/>
    </row>
    <row r="34" ht="22" customHeight="1">
      <c r="A34" s="14" t="inlineStr">
        <is>
          <t>4.  논의 및 결정     논의(사실·의견)와 결정(합의된 결론)을 서로 다른 칸에 적습니다.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6" t="n"/>
    </row>
    <row r="35" ht="18" customHeight="1">
      <c r="A35" s="24" t="inlineStr">
        <is>
          <t>결정이 없는 안건은 결과에 ‘결정 없음’을 고릅니다. 조건부 가결은 이견·조건 칸에 조건을 적습니다.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</row>
    <row r="36" ht="28" customHeight="1">
      <c r="A36" s="20" t="inlineStr">
        <is>
          <t>No</t>
        </is>
      </c>
      <c r="B36" s="20" t="inlineStr">
        <is>
          <t>안건</t>
        </is>
      </c>
      <c r="C36" s="20" t="inlineStr">
        <is>
          <t>주요 논의</t>
        </is>
      </c>
      <c r="D36" s="7" t="n"/>
      <c r="E36" s="7" t="n"/>
      <c r="F36" s="8" t="n"/>
      <c r="G36" s="20" t="inlineStr">
        <is>
          <t>결정 내용</t>
        </is>
      </c>
      <c r="H36" s="7" t="n"/>
      <c r="I36" s="8" t="n"/>
      <c r="J36" s="20" t="inlineStr">
        <is>
          <t>결과</t>
        </is>
      </c>
      <c r="K36" s="20" t="inlineStr">
        <is>
          <t>이견·조건</t>
        </is>
      </c>
      <c r="L36" s="8" t="n"/>
    </row>
    <row r="37" ht="36" customHeight="1">
      <c r="A37" s="21">
        <f>IF(C37="","",COUNTA($C$37:C37))</f>
        <v/>
      </c>
      <c r="B37" s="6" t="inlineStr">
        <is>
          <t>1</t>
        </is>
      </c>
      <c r="C37" s="17" t="inlineStr">
        <is>
          <t>알람 룰 초안 1건이 기한을 넘겼고, 인터페이스 명세는 기한 내 배포되었다.</t>
        </is>
      </c>
      <c r="D37" s="7" t="n"/>
      <c r="E37" s="7" t="n"/>
      <c r="F37" s="8" t="n"/>
      <c r="G37" s="17" t="inlineStr">
        <is>
          <t>지연 과제는 10/16까지 만회하고, 다음 주간회의 첫 안건에서 다시 확인한다.</t>
        </is>
      </c>
      <c r="H37" s="7" t="n"/>
      <c r="I37" s="8" t="n"/>
      <c r="J37" s="6" t="inlineStr">
        <is>
          <t>가결</t>
        </is>
      </c>
      <c r="K37" s="17" t="inlineStr">
        <is>
          <t>없음</t>
        </is>
      </c>
      <c r="L37" s="8" t="n"/>
    </row>
    <row r="38" ht="36" customHeight="1">
      <c r="A38" s="21">
        <f>IF(C38="","",COUNTA($C$37:C38))</f>
        <v/>
      </c>
      <c r="B38" s="6" t="inlineStr">
        <is>
          <t>2</t>
        </is>
      </c>
      <c r="C38" s="17" t="inlineStr">
        <is>
          <t>설비 상태 API 연동은 예정보다 2일 늦다. 시연에 필요한 대시보드 4화면은 완료되었다.</t>
        </is>
      </c>
      <c r="D38" s="7" t="n"/>
      <c r="E38" s="7" t="n"/>
      <c r="F38" s="8" t="n"/>
      <c r="G38" s="17" t="inlineStr">
        <is>
          <t>시연 필수 범위는 대시보드 4화면과 알람 목록으로 한정한다. API 연동은 시연에서 제외한다.</t>
        </is>
      </c>
      <c r="H38" s="7" t="n"/>
      <c r="I38" s="8" t="n"/>
      <c r="J38" s="6" t="inlineStr">
        <is>
          <t>조건부 가결</t>
        </is>
      </c>
      <c r="K38" s="17" t="inlineStr">
        <is>
          <t>품질팀: 제외 범위를 시연 대본에 명시</t>
        </is>
      </c>
      <c r="L38" s="8" t="n"/>
    </row>
    <row r="39" ht="36" customHeight="1">
      <c r="A39" s="21">
        <f>IF(C39="","",COUNTA($C$37:C39))</f>
        <v/>
      </c>
      <c r="B39" s="6" t="inlineStr">
        <is>
          <t>3</t>
        </is>
      </c>
      <c r="C39" s="17" t="inlineStr">
        <is>
          <t>고객 시연은 10/24. 리허설 없이 진행하면 위험하다는 의견이 있었다.</t>
        </is>
      </c>
      <c r="D39" s="7" t="n"/>
      <c r="E39" s="7" t="n"/>
      <c r="F39" s="8" t="n"/>
      <c r="G39" s="17" t="inlineStr">
        <is>
          <t>10/22 15:00 내부 리허설을 한다. 대본 초안은 10/17까지 배포한다.</t>
        </is>
      </c>
      <c r="H39" s="7" t="n"/>
      <c r="I39" s="8" t="n"/>
      <c r="J39" s="6" t="inlineStr">
        <is>
          <t>가결</t>
        </is>
      </c>
      <c r="K39" s="17" t="inlineStr">
        <is>
          <t>없음</t>
        </is>
      </c>
      <c r="L39" s="8" t="n"/>
    </row>
    <row r="40" ht="36" customHeight="1">
      <c r="A40" s="21">
        <f>IF(C40="","",COUNTA($C$37:C40))</f>
        <v/>
      </c>
      <c r="B40" s="6" t="n"/>
      <c r="C40" s="17" t="n"/>
      <c r="D40" s="7" t="n"/>
      <c r="E40" s="7" t="n"/>
      <c r="F40" s="8" t="n"/>
      <c r="G40" s="17" t="n"/>
      <c r="H40" s="7" t="n"/>
      <c r="I40" s="8" t="n"/>
      <c r="J40" s="6" t="n"/>
      <c r="K40" s="17" t="n"/>
      <c r="L40" s="8" t="n"/>
    </row>
    <row r="41" ht="36" customHeight="1">
      <c r="A41" s="21">
        <f>IF(C41="","",COUNTA($C$37:C41))</f>
        <v/>
      </c>
      <c r="B41" s="6" t="n"/>
      <c r="C41" s="17" t="n"/>
      <c r="D41" s="7" t="n"/>
      <c r="E41" s="7" t="n"/>
      <c r="F41" s="8" t="n"/>
      <c r="G41" s="17" t="n"/>
      <c r="H41" s="7" t="n"/>
      <c r="I41" s="8" t="n"/>
      <c r="J41" s="6" t="n"/>
      <c r="K41" s="17" t="n"/>
      <c r="L41" s="8" t="n"/>
    </row>
    <row r="42" ht="36" customHeight="1">
      <c r="A42" s="21">
        <f>IF(C42="","",COUNTA($C$37:C42))</f>
        <v/>
      </c>
      <c r="B42" s="6" t="n"/>
      <c r="C42" s="17" t="n"/>
      <c r="D42" s="7" t="n"/>
      <c r="E42" s="7" t="n"/>
      <c r="F42" s="8" t="n"/>
      <c r="G42" s="17" t="n"/>
      <c r="H42" s="7" t="n"/>
      <c r="I42" s="8" t="n"/>
      <c r="J42" s="6" t="n"/>
      <c r="K42" s="17" t="n"/>
      <c r="L42" s="8" t="n"/>
    </row>
    <row r="43" ht="22" customHeight="1">
      <c r="A43" s="14" t="inlineStr">
        <is>
          <t>5.  실행 과제     담당은 1인, 완료 기준과 기한은 필수입니다. 빈 칸과 지난 기한은 붉게 표시됩니다.</t>
        </is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 t="n"/>
    </row>
    <row r="44" ht="18" customHeight="1">
      <c r="A44" s="24" t="inlineStr">
        <is>
          <t>완료 기준은 ‘무엇을 보면 끝났는지’로 적습니다. 예: 3개 사 비교표 1부.  협조는 지원이고, 완료 책임은 담당자에게 있습니다.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</row>
    <row r="45" ht="28" customHeight="1">
      <c r="A45" s="20" t="inlineStr">
        <is>
          <t>No</t>
        </is>
      </c>
      <c r="B45" s="20" t="inlineStr">
        <is>
          <t>안건</t>
        </is>
      </c>
      <c r="C45" s="20" t="inlineStr">
        <is>
          <t>실행 과제</t>
        </is>
      </c>
      <c r="D45" s="7" t="n"/>
      <c r="E45" s="8" t="n"/>
      <c r="F45" s="20" t="inlineStr">
        <is>
          <t>완료 기준</t>
        </is>
      </c>
      <c r="G45" s="8" t="n"/>
      <c r="H45" s="20" t="inlineStr">
        <is>
          <t>담당</t>
        </is>
      </c>
      <c r="I45" s="20" t="inlineStr">
        <is>
          <t>협조</t>
        </is>
      </c>
      <c r="J45" s="20" t="inlineStr">
        <is>
          <t>우선순위</t>
        </is>
      </c>
      <c r="K45" s="20" t="inlineStr">
        <is>
          <t>완료기한</t>
        </is>
      </c>
      <c r="L45" s="20" t="inlineStr">
        <is>
          <t>상태</t>
        </is>
      </c>
    </row>
    <row r="46" ht="36" customHeight="1">
      <c r="A46" s="21">
        <f>IF(C46="","",COUNTA($C$46:C46))</f>
        <v/>
      </c>
      <c r="B46" s="6" t="inlineStr">
        <is>
          <t>3</t>
        </is>
      </c>
      <c r="C46" s="17" t="inlineStr">
        <is>
          <t>시연 일정을 고객에게 안내</t>
        </is>
      </c>
      <c r="D46" s="7" t="n"/>
      <c r="E46" s="8" t="n"/>
      <c r="F46" s="17" t="inlineStr">
        <is>
          <t>안내 메일 발송 기록</t>
        </is>
      </c>
      <c r="G46" s="8" t="n"/>
      <c r="H46" s="6" t="inlineStr">
        <is>
          <t>홍길동</t>
        </is>
      </c>
      <c r="I46" s="6" t="inlineStr"/>
      <c r="J46" s="6" t="inlineStr">
        <is>
          <t>높음</t>
        </is>
      </c>
      <c r="K46" s="11" t="n">
        <v>46308</v>
      </c>
      <c r="L46" s="6" t="inlineStr">
        <is>
          <t>완료</t>
        </is>
      </c>
    </row>
    <row r="47" ht="36" customHeight="1">
      <c r="A47" s="21">
        <f>IF(C47="","",COUNTA($C$46:C47))</f>
        <v/>
      </c>
      <c r="B47" s="6" t="inlineStr">
        <is>
          <t>1</t>
        </is>
      </c>
      <c r="C47" s="17" t="inlineStr">
        <is>
          <t>알람 룰 초안 작성</t>
        </is>
      </c>
      <c r="D47" s="7" t="n"/>
      <c r="E47" s="8" t="n"/>
      <c r="F47" s="17" t="inlineStr">
        <is>
          <t>룰 정의서 1부 (필수·선택 구분)</t>
        </is>
      </c>
      <c r="G47" s="8" t="n"/>
      <c r="H47" s="6" t="inlineStr">
        <is>
          <t>이서연</t>
        </is>
      </c>
      <c r="I47" s="6" t="inlineStr">
        <is>
          <t>김민수</t>
        </is>
      </c>
      <c r="J47" s="6" t="inlineStr">
        <is>
          <t>긴급</t>
        </is>
      </c>
      <c r="K47" s="11" t="n">
        <v>46304</v>
      </c>
      <c r="L47" s="6" t="inlineStr">
        <is>
          <t>진행</t>
        </is>
      </c>
    </row>
    <row r="48" ht="36" customHeight="1">
      <c r="A48" s="21">
        <f>IF(C48="","",COUNTA($C$46:C48))</f>
        <v/>
      </c>
      <c r="B48" s="6" t="inlineStr">
        <is>
          <t>3</t>
        </is>
      </c>
      <c r="C48" s="17" t="inlineStr">
        <is>
          <t>시연 대본 초안 작성</t>
        </is>
      </c>
      <c r="D48" s="7" t="n"/>
      <c r="E48" s="8" t="n"/>
      <c r="F48" s="17" t="inlineStr">
        <is>
          <t>대본 1부. 제외 범위가 본문에 있을 것</t>
        </is>
      </c>
      <c r="G48" s="8" t="n"/>
      <c r="H48" s="6" t="inlineStr">
        <is>
          <t>김민수</t>
        </is>
      </c>
      <c r="I48" s="6" t="inlineStr">
        <is>
          <t>박지훈</t>
        </is>
      </c>
      <c r="J48" s="6" t="inlineStr">
        <is>
          <t>높음</t>
        </is>
      </c>
      <c r="K48" s="11" t="n">
        <v>46312</v>
      </c>
      <c r="L48" s="6" t="inlineStr">
        <is>
          <t>미착수</t>
        </is>
      </c>
    </row>
    <row r="49" ht="36" customHeight="1">
      <c r="A49" s="21">
        <f>IF(C49="","",COUNTA($C$46:C49))</f>
        <v/>
      </c>
      <c r="B49" s="6" t="inlineStr">
        <is>
          <t>3</t>
        </is>
      </c>
      <c r="C49" s="17" t="inlineStr">
        <is>
          <t>내부 리허설 준비</t>
        </is>
      </c>
      <c r="D49" s="7" t="n"/>
      <c r="E49" s="8" t="n"/>
      <c r="F49" s="17" t="inlineStr">
        <is>
          <t>회의실 예약과 시연 데이터 확보</t>
        </is>
      </c>
      <c r="G49" s="8" t="n"/>
      <c r="H49" s="6" t="inlineStr">
        <is>
          <t>홍길동</t>
        </is>
      </c>
      <c r="I49" s="6" t="inlineStr">
        <is>
          <t>이서연</t>
        </is>
      </c>
      <c r="J49" s="6" t="inlineStr">
        <is>
          <t>보통</t>
        </is>
      </c>
      <c r="K49" s="11" t="n">
        <v>46317</v>
      </c>
      <c r="L49" s="6" t="inlineStr">
        <is>
          <t>미착수</t>
        </is>
      </c>
    </row>
    <row r="50" ht="36" customHeight="1">
      <c r="A50" s="21">
        <f>IF(C50="","",COUNTA($C$46:C50))</f>
        <v/>
      </c>
      <c r="B50" s="6" t="n"/>
      <c r="C50" s="17" t="n"/>
      <c r="D50" s="7" t="n"/>
      <c r="E50" s="8" t="n"/>
      <c r="F50" s="17" t="n"/>
      <c r="G50" s="8" t="n"/>
      <c r="H50" s="6" t="n"/>
      <c r="I50" s="6" t="n"/>
      <c r="J50" s="6" t="n"/>
      <c r="K50" s="11" t="n"/>
      <c r="L50" s="6" t="n"/>
    </row>
    <row r="51" ht="36" customHeight="1">
      <c r="A51" s="21">
        <f>IF(C51="","",COUNTA($C$46:C51))</f>
        <v/>
      </c>
      <c r="B51" s="6" t="n"/>
      <c r="C51" s="17" t="n"/>
      <c r="D51" s="7" t="n"/>
      <c r="E51" s="8" t="n"/>
      <c r="F51" s="17" t="n"/>
      <c r="G51" s="8" t="n"/>
      <c r="H51" s="6" t="n"/>
      <c r="I51" s="6" t="n"/>
      <c r="J51" s="6" t="n"/>
      <c r="K51" s="11" t="n"/>
      <c r="L51" s="6" t="n"/>
    </row>
    <row r="52" ht="36" customHeight="1">
      <c r="A52" s="21">
        <f>IF(C52="","",COUNTA($C$46:C52))</f>
        <v/>
      </c>
      <c r="B52" s="6" t="n"/>
      <c r="C52" s="17" t="n"/>
      <c r="D52" s="7" t="n"/>
      <c r="E52" s="8" t="n"/>
      <c r="F52" s="17" t="n"/>
      <c r="G52" s="8" t="n"/>
      <c r="H52" s="6" t="n"/>
      <c r="I52" s="6" t="n"/>
      <c r="J52" s="6" t="n"/>
      <c r="K52" s="11" t="n"/>
      <c r="L52" s="6" t="n"/>
    </row>
    <row r="53" ht="36" customHeight="1">
      <c r="A53" s="21">
        <f>IF(C53="","",COUNTA($C$46:C53))</f>
        <v/>
      </c>
      <c r="B53" s="6" t="n"/>
      <c r="C53" s="17" t="n"/>
      <c r="D53" s="7" t="n"/>
      <c r="E53" s="8" t="n"/>
      <c r="F53" s="17" t="n"/>
      <c r="G53" s="8" t="n"/>
      <c r="H53" s="6" t="n"/>
      <c r="I53" s="6" t="n"/>
      <c r="J53" s="6" t="n"/>
      <c r="K53" s="11" t="n"/>
      <c r="L53" s="6" t="n"/>
    </row>
    <row r="54" ht="16" customHeight="1">
      <c r="A54" s="25" t="inlineStr">
        <is>
          <t>전체</t>
        </is>
      </c>
      <c r="B54" s="26" t="inlineStr">
        <is>
          <t>완료</t>
        </is>
      </c>
      <c r="C54" s="8" t="n"/>
      <c r="D54" s="26" t="inlineStr">
        <is>
          <t>진행</t>
        </is>
      </c>
      <c r="E54" s="8" t="n"/>
      <c r="F54" s="26" t="inlineStr">
        <is>
          <t>미착수</t>
        </is>
      </c>
      <c r="G54" s="8" t="n"/>
      <c r="H54" s="26" t="inlineStr">
        <is>
          <t>보류·취소</t>
        </is>
      </c>
      <c r="I54" s="8" t="n"/>
      <c r="J54" s="26" t="inlineStr">
        <is>
          <t>기한초과</t>
        </is>
      </c>
      <c r="K54" s="25" t="inlineStr">
        <is>
          <t>완료율</t>
        </is>
      </c>
      <c r="L54" s="8" t="n"/>
    </row>
    <row r="55" ht="24" customHeight="1">
      <c r="A55" s="27">
        <f>COUNTA(C46:C53)</f>
        <v/>
      </c>
      <c r="B55" s="28">
        <f>COUNTIF(L46:L53,"완료")</f>
        <v/>
      </c>
      <c r="C55" s="8" t="n"/>
      <c r="D55" s="29">
        <f>COUNTIF(L46:L53,"진행")</f>
        <v/>
      </c>
      <c r="E55" s="8" t="n"/>
      <c r="F55" s="30">
        <f>COUNTIF(L46:L53,"미착수")+SUMPRODUCT((C46:C53&lt;&gt;"")*(L46:L53=""))</f>
        <v/>
      </c>
      <c r="G55" s="8" t="n"/>
      <c r="H55" s="31">
        <f>COUNTIF(L46:L53,"보류")+COUNTIF(L46:L53,"취소")</f>
        <v/>
      </c>
      <c r="I55" s="8" t="n"/>
      <c r="J55" s="32">
        <f>SUMPRODUCT((C46:C53&lt;&gt;"")*(K46:K53&lt;&gt;"")*(K46:K53&lt;TODAY())*(L46:L53&lt;&gt;"완료")*(L46:L53&lt;&gt;"취소"))</f>
        <v/>
      </c>
      <c r="K55" s="33">
        <f>IF(A55=0,"-",B55/A55)</f>
        <v/>
      </c>
      <c r="L55" s="8" t="n"/>
    </row>
    <row r="56" ht="22" customHeight="1">
      <c r="A56" s="14" t="inlineStr">
        <is>
          <t>6.  전회 후속조치     이번 회의의 첫 확인 항목입니다. 지연 과제는 위 실행 과제에 다시 올립니다.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6" t="n"/>
    </row>
    <row r="57" ht="28" customHeight="1">
      <c r="A57" s="20" t="inlineStr">
        <is>
          <t>No</t>
        </is>
      </c>
      <c r="B57" s="20" t="inlineStr">
        <is>
          <t>전회 문서번호</t>
        </is>
      </c>
      <c r="C57" s="8" t="n"/>
      <c r="D57" s="20" t="inlineStr">
        <is>
          <t>과제</t>
        </is>
      </c>
      <c r="E57" s="7" t="n"/>
      <c r="F57" s="7" t="n"/>
      <c r="G57" s="8" t="n"/>
      <c r="H57" s="20" t="inlineStr">
        <is>
          <t>담당</t>
        </is>
      </c>
      <c r="I57" s="20" t="inlineStr">
        <is>
          <t>당초 기한</t>
        </is>
      </c>
      <c r="J57" s="20" t="inlineStr">
        <is>
          <t>이행결과</t>
        </is>
      </c>
      <c r="K57" s="20" t="inlineStr">
        <is>
          <t>비고</t>
        </is>
      </c>
      <c r="L57" s="8" t="n"/>
    </row>
    <row r="58" ht="20" customHeight="1">
      <c r="A58" s="21">
        <f>IF(D58="","",COUNTA($D$58:D58))</f>
        <v/>
      </c>
      <c r="B58" s="6" t="inlineStr">
        <is>
          <t>SOL-MTG-2026-013</t>
        </is>
      </c>
      <c r="C58" s="8" t="n"/>
      <c r="D58" s="6" t="inlineStr">
        <is>
          <t>알람 룰 초안</t>
        </is>
      </c>
      <c r="E58" s="7" t="n"/>
      <c r="F58" s="7" t="n"/>
      <c r="G58" s="8" t="n"/>
      <c r="H58" s="6" t="inlineStr">
        <is>
          <t>이서연</t>
        </is>
      </c>
      <c r="I58" s="11" t="n">
        <v>46304</v>
      </c>
      <c r="J58" s="6" t="inlineStr">
        <is>
          <t>지연</t>
        </is>
      </c>
      <c r="K58" s="6" t="inlineStr">
        <is>
          <t>금회 실행과제로 다시 등록</t>
        </is>
      </c>
      <c r="L58" s="8" t="n"/>
    </row>
    <row r="59" ht="20" customHeight="1">
      <c r="A59" s="21">
        <f>IF(D59="","",COUNTA($D$58:D59))</f>
        <v/>
      </c>
      <c r="B59" s="6" t="inlineStr">
        <is>
          <t>SOL-MTG-2026-013</t>
        </is>
      </c>
      <c r="C59" s="8" t="n"/>
      <c r="D59" s="6" t="inlineStr">
        <is>
          <t>인터페이스 명세 배포</t>
        </is>
      </c>
      <c r="E59" s="7" t="n"/>
      <c r="F59" s="7" t="n"/>
      <c r="G59" s="8" t="n"/>
      <c r="H59" s="6" t="inlineStr">
        <is>
          <t>김민수</t>
        </is>
      </c>
      <c r="I59" s="11" t="n">
        <v>46305</v>
      </c>
      <c r="J59" s="6" t="inlineStr">
        <is>
          <t>완료</t>
        </is>
      </c>
      <c r="K59" s="6" t="inlineStr">
        <is>
          <t>10/10 배포 완료</t>
        </is>
      </c>
      <c r="L59" s="8" t="n"/>
    </row>
    <row r="60" ht="20" customHeight="1">
      <c r="A60" s="21">
        <f>IF(D60="","",COUNTA($D$58:D60))</f>
        <v/>
      </c>
      <c r="B60" s="6" t="n"/>
      <c r="C60" s="8" t="n"/>
      <c r="D60" s="6" t="n"/>
      <c r="E60" s="7" t="n"/>
      <c r="F60" s="7" t="n"/>
      <c r="G60" s="8" t="n"/>
      <c r="H60" s="6" t="n"/>
      <c r="I60" s="11" t="n"/>
      <c r="J60" s="6" t="n"/>
      <c r="K60" s="6" t="n"/>
      <c r="L60" s="8" t="n"/>
    </row>
    <row r="61" ht="20" customHeight="1">
      <c r="A61" s="21">
        <f>IF(D61="","",COUNTA($D$58:D61))</f>
        <v/>
      </c>
      <c r="B61" s="6" t="n"/>
      <c r="C61" s="8" t="n"/>
      <c r="D61" s="6" t="n"/>
      <c r="E61" s="7" t="n"/>
      <c r="F61" s="7" t="n"/>
      <c r="G61" s="8" t="n"/>
      <c r="H61" s="6" t="n"/>
      <c r="I61" s="11" t="n"/>
      <c r="J61" s="6" t="n"/>
      <c r="K61" s="6" t="n"/>
      <c r="L61" s="8" t="n"/>
    </row>
    <row r="62" ht="22" customHeight="1">
      <c r="A62" s="14" t="inlineStr">
        <is>
          <t>7.  다음 회의 · 첨부 · 배포</t>
        </is>
      </c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6" t="n"/>
    </row>
    <row r="63" ht="26" customHeight="1">
      <c r="A63" s="5" t="inlineStr">
        <is>
          <t>다음 회의</t>
        </is>
      </c>
      <c r="B63" s="11" t="n">
        <v>46315</v>
      </c>
      <c r="C63" s="8" t="n"/>
      <c r="D63" s="5" t="inlineStr">
        <is>
          <t>시 각</t>
        </is>
      </c>
      <c r="E63" s="18" t="n">
        <v>0.4166666666666667</v>
      </c>
      <c r="F63" s="5" t="inlineStr">
        <is>
          <t>장 소</t>
        </is>
      </c>
      <c r="G63" s="6" t="inlineStr">
        <is>
          <t>본사 3층 대회의실</t>
        </is>
      </c>
      <c r="H63" s="8" t="n"/>
      <c r="I63" s="5" t="inlineStr">
        <is>
          <t>예정 안건</t>
        </is>
      </c>
      <c r="J63" s="6" t="inlineStr">
        <is>
          <t>알람 룰 확정, 리허설 점검</t>
        </is>
      </c>
      <c r="K63" s="7" t="n"/>
      <c r="L63" s="8" t="n"/>
    </row>
    <row r="64" ht="40" customHeight="1">
      <c r="A64" s="5" t="inlineStr">
        <is>
          <t>첨 부</t>
        </is>
      </c>
      <c r="B64" s="17" t="inlineStr">
        <is>
          <t>주간진척_20261013.xlsx  /  시연범위_초안.pptx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8" t="n"/>
    </row>
    <row r="65" ht="26" customHeight="1">
      <c r="A65" s="5" t="inlineStr">
        <is>
          <t>배포 대상</t>
        </is>
      </c>
      <c r="B65" s="6" t="inlineStr">
        <is>
          <t>참석자 전원, 기획팀장</t>
        </is>
      </c>
      <c r="C65" s="7" t="n"/>
      <c r="D65" s="7" t="n"/>
      <c r="E65" s="7" t="n"/>
      <c r="F65" s="7" t="n"/>
      <c r="G65" s="7" t="n"/>
      <c r="H65" s="8" t="n"/>
      <c r="I65" s="5" t="inlineStr">
        <is>
          <t>배포 방법</t>
        </is>
      </c>
      <c r="J65" s="6" t="inlineStr">
        <is>
          <t>이메일</t>
        </is>
      </c>
      <c r="K65" s="7" t="n"/>
      <c r="L65" s="8" t="n"/>
    </row>
    <row r="66" ht="36" customHeight="1">
      <c r="A66" s="5" t="inlineStr">
        <is>
          <t>특이사항</t>
        </is>
      </c>
      <c r="B66" s="17" t="inlineStr">
        <is>
          <t>시연 범위에서 API 연동을 뺀 사실을 고객 안내문에 함께 적는다.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8" t="n"/>
    </row>
    <row r="67" ht="56" customHeight="1">
      <c r="A67" s="34" t="inlineStr">
        <is>
          <t>본 회의록은 회의 종료 후 1영업일 이내 작성하여 배포한다. 참석자는 배포일로부터 2영업일 이내 이견을 서면으로 알리며, 그 기간에 이견이 없으면 참석자 전원이 내용을 확인한 것으로 본다. 실행과제의 완료 책임은 담당자 1인에게 있고, 기한을 넘긴 과제는 다음 회의 첫 안건에서 이행 결과를 확인한다.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</row>
  </sheetData>
  <mergeCells count="146">
    <mergeCell ref="G38:I38"/>
    <mergeCell ref="F5:H5"/>
    <mergeCell ref="C39:F39"/>
    <mergeCell ref="C47:E47"/>
    <mergeCell ref="K33:L33"/>
    <mergeCell ref="B22:C22"/>
    <mergeCell ref="H55:I55"/>
    <mergeCell ref="C37:F37"/>
    <mergeCell ref="C51:E51"/>
    <mergeCell ref="K26:L26"/>
    <mergeCell ref="B21:C21"/>
    <mergeCell ref="A33:I33"/>
    <mergeCell ref="D59:G59"/>
    <mergeCell ref="D60:G60"/>
    <mergeCell ref="B61:C61"/>
    <mergeCell ref="B6:D6"/>
    <mergeCell ref="K58:L58"/>
    <mergeCell ref="K2:L2"/>
    <mergeCell ref="B4:D4"/>
    <mergeCell ref="K42:L42"/>
    <mergeCell ref="C49:E49"/>
    <mergeCell ref="C41:F41"/>
    <mergeCell ref="A34:L34"/>
    <mergeCell ref="B55:C55"/>
    <mergeCell ref="B24:C24"/>
    <mergeCell ref="G36:I36"/>
    <mergeCell ref="G42:I42"/>
    <mergeCell ref="H12:L12"/>
    <mergeCell ref="B64:L64"/>
    <mergeCell ref="J13:L13"/>
    <mergeCell ref="B31:G31"/>
    <mergeCell ref="K28:L28"/>
    <mergeCell ref="K37:L37"/>
    <mergeCell ref="B63:C63"/>
    <mergeCell ref="C36:F36"/>
    <mergeCell ref="J24:L24"/>
    <mergeCell ref="B16:C16"/>
    <mergeCell ref="K30:L30"/>
    <mergeCell ref="F54:G54"/>
    <mergeCell ref="G37:I37"/>
    <mergeCell ref="D58:G58"/>
    <mergeCell ref="H54:I54"/>
    <mergeCell ref="J65:L65"/>
    <mergeCell ref="B18:C18"/>
    <mergeCell ref="A3:L3"/>
    <mergeCell ref="H15:K15"/>
    <mergeCell ref="K55:L55"/>
    <mergeCell ref="B66:L66"/>
    <mergeCell ref="C46:E46"/>
    <mergeCell ref="H23:K23"/>
    <mergeCell ref="H18:K18"/>
    <mergeCell ref="J63:L63"/>
    <mergeCell ref="B11:C11"/>
    <mergeCell ref="C52:E52"/>
    <mergeCell ref="K32:L32"/>
    <mergeCell ref="A14:L14"/>
    <mergeCell ref="K41:L41"/>
    <mergeCell ref="F45:G45"/>
    <mergeCell ref="C48:E48"/>
    <mergeCell ref="B5:D5"/>
    <mergeCell ref="F47:G47"/>
    <mergeCell ref="A43:L43"/>
    <mergeCell ref="G41:I41"/>
    <mergeCell ref="K27:L27"/>
    <mergeCell ref="F46:G46"/>
    <mergeCell ref="H28:I28"/>
    <mergeCell ref="A67:L67"/>
    <mergeCell ref="C40:F40"/>
    <mergeCell ref="D61:G61"/>
    <mergeCell ref="B15:C15"/>
    <mergeCell ref="F48:G48"/>
    <mergeCell ref="H17:K17"/>
    <mergeCell ref="B27:G27"/>
    <mergeCell ref="A2:J2"/>
    <mergeCell ref="H19:K19"/>
    <mergeCell ref="C50:E50"/>
    <mergeCell ref="B54:C54"/>
    <mergeCell ref="A25:L25"/>
    <mergeCell ref="B7:C7"/>
    <mergeCell ref="B9:H9"/>
    <mergeCell ref="B13:D13"/>
    <mergeCell ref="H31:I31"/>
    <mergeCell ref="K54:L54"/>
    <mergeCell ref="B29:G29"/>
    <mergeCell ref="B58:C58"/>
    <mergeCell ref="K60:L60"/>
    <mergeCell ref="K29:L29"/>
    <mergeCell ref="K11:L11"/>
    <mergeCell ref="F13:H13"/>
    <mergeCell ref="B60:C60"/>
    <mergeCell ref="K31:L31"/>
    <mergeCell ref="B17:C17"/>
    <mergeCell ref="F50:G50"/>
    <mergeCell ref="B57:C57"/>
    <mergeCell ref="K40:L40"/>
    <mergeCell ref="B19:C19"/>
    <mergeCell ref="B32:G32"/>
    <mergeCell ref="G40:I40"/>
    <mergeCell ref="A44:L44"/>
    <mergeCell ref="B26:G26"/>
    <mergeCell ref="F6:H6"/>
    <mergeCell ref="D55:E55"/>
    <mergeCell ref="E7:F7"/>
    <mergeCell ref="B20:C20"/>
    <mergeCell ref="G63:H63"/>
    <mergeCell ref="F49:G49"/>
    <mergeCell ref="K57:L57"/>
    <mergeCell ref="H16:K16"/>
    <mergeCell ref="D54:E54"/>
    <mergeCell ref="J9:L9"/>
    <mergeCell ref="H30:I30"/>
    <mergeCell ref="H22:K22"/>
    <mergeCell ref="H29:I29"/>
    <mergeCell ref="B59:C59"/>
    <mergeCell ref="B65:H65"/>
    <mergeCell ref="C38:F38"/>
    <mergeCell ref="A56:L56"/>
    <mergeCell ref="K36:L36"/>
    <mergeCell ref="B12:F12"/>
    <mergeCell ref="F55:G55"/>
    <mergeCell ref="B28:G28"/>
    <mergeCell ref="F51:G51"/>
    <mergeCell ref="B23:C23"/>
    <mergeCell ref="A8:L8"/>
    <mergeCell ref="H20:K20"/>
    <mergeCell ref="B30:G30"/>
    <mergeCell ref="C42:F42"/>
    <mergeCell ref="A35:L35"/>
    <mergeCell ref="A62:L62"/>
    <mergeCell ref="K59:L59"/>
    <mergeCell ref="H32:I32"/>
    <mergeCell ref="C53:E53"/>
    <mergeCell ref="F4:H4"/>
    <mergeCell ref="B10:L10"/>
    <mergeCell ref="H21:K21"/>
    <mergeCell ref="D57:G57"/>
    <mergeCell ref="K61:L61"/>
    <mergeCell ref="K39:L39"/>
    <mergeCell ref="H27:I27"/>
    <mergeCell ref="F52:G52"/>
    <mergeCell ref="K38:L38"/>
    <mergeCell ref="C45:E45"/>
    <mergeCell ref="A1:L1"/>
    <mergeCell ref="G39:I39"/>
    <mergeCell ref="F53:G53"/>
    <mergeCell ref="H26:I26"/>
  </mergeCells>
  <conditionalFormatting sqref="G16:G23">
    <cfRule type="cellIs" priority="1" operator="equal" dxfId="0">
      <formula>"불참"</formula>
    </cfRule>
    <cfRule type="cellIs" priority="2" operator="equal" dxfId="1">
      <formula>"위임"</formula>
    </cfRule>
    <cfRule type="cellIs" priority="3" operator="equal" dxfId="2">
      <formula>"참석"</formula>
    </cfRule>
    <cfRule type="cellIs" priority="4" operator="equal" dxfId="3">
      <formula>"화상참석"</formula>
    </cfRule>
  </conditionalFormatting>
  <conditionalFormatting sqref="H16:H23">
    <cfRule type="expression" priority="5" dxfId="0">
      <formula>AND(OR(G16="불참",G16="위임"),H16="")</formula>
    </cfRule>
  </conditionalFormatting>
  <conditionalFormatting sqref="J24">
    <cfRule type="expression" priority="6" dxfId="2">
      <formula>J24="인원 일치"</formula>
    </cfRule>
    <cfRule type="expression" priority="7" dxfId="0">
      <formula>J24="인원 불일치"</formula>
    </cfRule>
  </conditionalFormatting>
  <conditionalFormatting sqref="K33">
    <cfRule type="expression" priority="8" dxfId="0">
      <formula>K33="배정 초과"</formula>
    </cfRule>
    <cfRule type="expression" priority="9" dxfId="2">
      <formula>K33="시간 내"</formula>
    </cfRule>
  </conditionalFormatting>
  <conditionalFormatting sqref="I11">
    <cfRule type="expression" priority="10" dxfId="0">
      <formula>I11="시간확인"</formula>
    </cfRule>
  </conditionalFormatting>
  <conditionalFormatting sqref="J37:J42">
    <cfRule type="cellIs" priority="11" operator="equal" dxfId="2">
      <formula>"가결"</formula>
    </cfRule>
    <cfRule type="cellIs" priority="12" operator="equal" dxfId="3">
      <formula>"조건부 가결"</formula>
    </cfRule>
    <cfRule type="cellIs" priority="13" operator="equal" dxfId="0">
      <formula>"부결"</formula>
    </cfRule>
    <cfRule type="cellIs" priority="14" operator="equal" dxfId="1">
      <formula>"보류"</formula>
    </cfRule>
    <cfRule type="cellIs" priority="15" operator="equal" dxfId="4">
      <formula>"결정 없음"</formula>
    </cfRule>
  </conditionalFormatting>
  <conditionalFormatting sqref="J46:J53">
    <cfRule type="cellIs" priority="16" operator="equal" dxfId="0">
      <formula>"긴급"</formula>
    </cfRule>
    <cfRule type="cellIs" priority="17" operator="equal" dxfId="1">
      <formula>"높음"</formula>
    </cfRule>
    <cfRule type="cellIs" priority="18" operator="equal" dxfId="3">
      <formula>"보통"</formula>
    </cfRule>
    <cfRule type="cellIs" priority="19" operator="equal" dxfId="4">
      <formula>"낮음"</formula>
    </cfRule>
  </conditionalFormatting>
  <conditionalFormatting sqref="L46:L53">
    <cfRule type="cellIs" priority="20" operator="equal" dxfId="2">
      <formula>"완료"</formula>
    </cfRule>
    <cfRule type="cellIs" priority="21" operator="equal" dxfId="3">
      <formula>"진행"</formula>
    </cfRule>
    <cfRule type="cellIs" priority="22" operator="equal" dxfId="4">
      <formula>"미착수"</formula>
    </cfRule>
    <cfRule type="cellIs" priority="23" operator="equal" dxfId="1">
      <formula>"보류"</formula>
    </cfRule>
    <cfRule type="cellIs" priority="24" operator="equal" dxfId="5">
      <formula>"취소"</formula>
    </cfRule>
    <cfRule type="expression" priority="28" dxfId="0">
      <formula>AND(C46&lt;&gt;"",L46="")</formula>
    </cfRule>
  </conditionalFormatting>
  <conditionalFormatting sqref="H46:H53">
    <cfRule type="expression" priority="25" dxfId="0">
      <formula>AND(C46&lt;&gt;"",H46="")</formula>
    </cfRule>
  </conditionalFormatting>
  <conditionalFormatting sqref="F46:F53">
    <cfRule type="expression" priority="26" dxfId="0">
      <formula>AND(C46&lt;&gt;"",F46="")</formula>
    </cfRule>
  </conditionalFormatting>
  <conditionalFormatting sqref="K46:K53">
    <cfRule type="expression" priority="27" dxfId="0">
      <formula>AND(C46&lt;&gt;"",K46="")</formula>
    </cfRule>
    <cfRule type="expression" priority="29" dxfId="0">
      <formula>AND(C46&lt;&gt;"",K46&lt;&gt;"",K46&lt;TODAY(),L46&lt;&gt;"완료",L46&lt;&gt;"취소")</formula>
    </cfRule>
  </conditionalFormatting>
  <conditionalFormatting sqref="J55">
    <cfRule type="expression" priority="30" dxfId="0">
      <formula>AND(ISNUMBER(J55),J55&gt;0)</formula>
    </cfRule>
  </conditionalFormatting>
  <conditionalFormatting sqref="J58:J61">
    <cfRule type="cellIs" priority="31" operator="equal" dxfId="2">
      <formula>"완료"</formula>
    </cfRule>
    <cfRule type="cellIs" priority="32" operator="equal" dxfId="0">
      <formula>"지연"</formula>
    </cfRule>
    <cfRule type="cellIs" priority="33" operator="equal" dxfId="3">
      <formula>"진행"</formula>
    </cfRule>
    <cfRule type="cellIs" priority="34" operator="equal" dxfId="1">
      <formula>"변경"</formula>
    </cfRule>
    <cfRule type="cellIs" priority="35" operator="equal" dxfId="4">
      <formula>"취소"</formula>
    </cfRule>
  </conditionalFormatting>
  <conditionalFormatting sqref="B5">
    <cfRule type="cellIs" priority="36" operator="equal" dxfId="0">
      <formula>"극비"</formula>
    </cfRule>
    <cfRule type="cellIs" priority="37" operator="equal" dxfId="1">
      <formula>"대외비"</formula>
    </cfRule>
    <cfRule type="cellIs" priority="38" operator="equal" dxfId="3">
      <formula>"사내한"</formula>
    </cfRule>
  </conditionalFormatting>
  <dataValidations count="14">
    <dataValidation sqref="B5" showDropDown="0" showInputMessage="0" showErrorMessage="1" allowBlank="1" errorTitle="입력 확인" error="목록에 있는 값을 선택해 주세요." type="list">
      <formula1>=ListSecurity</formula1>
    </dataValidation>
    <dataValidation sqref="F5" showDropDown="0" showInputMessage="0" showErrorMessage="1" allowBlank="1" errorTitle="입력 확인" error="목록에 있는 값을 선택해 주세요." type="list">
      <formula1>=ListRetention</formula1>
    </dataValidation>
    <dataValidation sqref="B7" showDropDown="0" showInputMessage="0" showErrorMessage="1" allowBlank="1" errorTitle="입력 확인" error="목록에 있는 값을 선택해 주세요." type="list">
      <formula1>=ListDocStatus</formula1>
    </dataValidation>
    <dataValidation sqref="J9" showDropDown="0" showInputMessage="0" showErrorMessage="1" allowBlank="1" errorTitle="입력 확인" error="목록에 있는 값을 선택해 주세요." type="list">
      <formula1>=ListMeetingType</formula1>
    </dataValidation>
    <dataValidation sqref="K11" showDropDown="0" showInputMessage="0" showErrorMessage="1" allowBlank="1" errorTitle="입력 확인" error="목록에 있는 값을 선택해 주세요." type="list">
      <formula1>=ListMode</formula1>
    </dataValidation>
    <dataValidation sqref="F16:F23" showDropDown="0" showInputMessage="0" showErrorMessage="1" allowBlank="1" errorTitle="입력 확인" error="목록에 있는 값을 선택해 주세요." type="list">
      <formula1>=ListRole</formula1>
    </dataValidation>
    <dataValidation sqref="G16:G23" showDropDown="0" showInputMessage="0" showErrorMessage="1" allowBlank="1" errorTitle="입력 확인" error="목록에 있는 값을 선택해 주세요." type="list">
      <formula1>=ListAttend</formula1>
    </dataValidation>
    <dataValidation sqref="L16:L23" showDropDown="0" showInputMessage="0" showErrorMessage="1" allowBlank="1" errorTitle="입력 확인" error="목록에 있는 값을 선택해 주세요." type="list">
      <formula1>=ListConfirm</formula1>
    </dataValidation>
    <dataValidation sqref="K27:K32" showDropDown="0" showInputMessage="0" showErrorMessage="1" allowBlank="1" errorTitle="입력 확인" error="목록에 있는 값을 선택해 주세요." type="list">
      <formula1>=ListAgendaType</formula1>
    </dataValidation>
    <dataValidation sqref="J37:J42" showDropDown="0" showInputMessage="0" showErrorMessage="1" allowBlank="1" errorTitle="입력 확인" error="목록에 있는 값을 선택해 주세요." type="list">
      <formula1>=ListDecision</formula1>
    </dataValidation>
    <dataValidation sqref="J46:J53" showDropDown="0" showInputMessage="0" showErrorMessage="1" allowBlank="1" errorTitle="입력 확인" error="목록에 있는 값을 선택해 주세요." type="list">
      <formula1>=ListPriority</formula1>
    </dataValidation>
    <dataValidation sqref="L46:L53" showDropDown="0" showInputMessage="0" showErrorMessage="1" allowBlank="1" errorTitle="입력 확인" error="목록에 있는 값을 선택해 주세요." type="list">
      <formula1>=ListActionStatus</formula1>
    </dataValidation>
    <dataValidation sqref="J58:J61" showDropDown="0" showInputMessage="0" showErrorMessage="1" allowBlank="1" errorTitle="입력 확인" error="목록에 있는 값을 선택해 주세요." type="list">
      <formula1>=ListFollow</formula1>
    </dataValidation>
    <dataValidation sqref="J65" showDropDown="0" showInputMessage="0" showErrorMessage="1" allowBlank="1" errorTitle="입력 확인" error="목록에 있는 값을 선택해 주세요." type="list">
      <formula1>=ListDist</formula1>
    </dataValidation>
  </dataValidations>
  <hyperlinks>
    <hyperlink xmlns:r="http://schemas.openxmlformats.org/officeDocument/2006/relationships" ref="K2" r:id="rId1"/>
  </hyperlinks>
  <printOptions horizontalCentered="1" gridLines="0"/>
  <pageMargins left="0.45" right="0.45" top="0.5" bottom="0.42" header="0.2" footer="0.2"/>
  <pageSetup orientation="landscape" paperSize="9" scale="90" fitToHeight="0" fitToWidth="1" pageOrder="downThenOver"/>
  <headerFooter>
    <oddHeader>&amp;L&amp;"맑은 고딕,Bold"&amp;9라인소프트(주)&amp;R&amp;"맑은 고딕"&amp;9회의록</oddHeader>
    <oddFooter>&amp;L&amp;"맑은 고딕"&amp;8작성 예시 — 배포 금지&amp;C&amp;"맑은 고딕"&amp;8&amp;P / &amp;N&amp;R&amp;"맑은 고딕"&amp;8종료 후 1영업일 내 배포</oddFooter>
    <evenHeader/>
    <evenFooter/>
    <firstHeader/>
    <firstFooter/>
  </headerFooter>
  <rowBreaks count="3" manualBreakCount="3">
    <brk id="24" min="0" max="16383" man="1"/>
    <brk id="42" min="0" max="16383" man="1"/>
    <brk id="61" min="0" max="16383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O38"/>
  <sheetViews>
    <sheetView showGridLines="0" view="normal" zoomScale="110" workbookViewId="0">
      <pane ySplit="8" topLeftCell="A9" activePane="bottomLeft" state="frozen"/>
      <selection pane="bottomLeft" activeCell="A1" sqref="A1"/>
    </sheetView>
  </sheetViews>
  <sheetFormatPr baseColWidth="8" defaultColWidth="11" defaultRowHeight="18"/>
  <cols>
    <col width="14" customWidth="1" min="1" max="1"/>
    <col width="22" customWidth="1" min="2" max="2"/>
    <col width="28" customWidth="1" min="3" max="3"/>
    <col width="10" customWidth="1" min="4" max="4"/>
    <col width="36" customWidth="1" min="5" max="5"/>
    <col width="28" customWidth="1" min="6" max="6"/>
    <col width="16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1" ht="36" customHeight="1">
      <c r="A1" s="38" t="inlineStr">
        <is>
          <t>실행과제 대장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 ht="20" customHeight="1">
      <c r="A2" s="2" t="inlineStr">
        <is>
          <t>회의록의 실행 과제를 이 표로 옮겨 기한까지 상태를 갱신합니다. 지연일수는 자동입니다.  완료일·상태·기한을 지우지 말고 고쳐서 쓰세요.</t>
        </is>
      </c>
    </row>
    <row r="4" ht="16" customHeight="1">
      <c r="A4" s="26" t="inlineStr">
        <is>
          <t>전체</t>
        </is>
      </c>
      <c r="B4" s="8" t="n"/>
      <c r="C4" s="26" t="inlineStr">
        <is>
          <t>완료</t>
        </is>
      </c>
      <c r="D4" s="8" t="n"/>
      <c r="E4" s="26" t="inlineStr">
        <is>
          <t>진행</t>
        </is>
      </c>
      <c r="F4" s="8" t="n"/>
      <c r="G4" s="26" t="inlineStr">
        <is>
          <t>미착수</t>
        </is>
      </c>
      <c r="H4" s="8" t="n"/>
      <c r="I4" s="26" t="inlineStr">
        <is>
          <t>기한초과</t>
        </is>
      </c>
      <c r="J4" s="7" t="n"/>
      <c r="K4" s="8" t="n"/>
      <c r="L4" s="26" t="inlineStr">
        <is>
          <t>완료율</t>
        </is>
      </c>
      <c r="M4" s="8" t="n"/>
      <c r="N4" s="26" t="inlineStr">
        <is>
          <t>평균 지연</t>
        </is>
      </c>
      <c r="O4" s="8" t="n"/>
    </row>
    <row r="5" ht="26" customHeight="1">
      <c r="A5" s="40">
        <f>COUNTA(E9:E38)</f>
        <v/>
      </c>
      <c r="B5" s="8" t="n"/>
      <c r="C5" s="40">
        <f>COUNTIF(M9:M38,"완료")</f>
        <v/>
      </c>
      <c r="D5" s="8" t="n"/>
      <c r="E5" s="40">
        <f>COUNTIF(M9:M38,"진행")</f>
        <v/>
      </c>
      <c r="F5" s="8" t="n"/>
      <c r="G5" s="40">
        <f>COUNTIF(M9:M38,"미착수")</f>
        <v/>
      </c>
      <c r="H5" s="8" t="n"/>
      <c r="I5" s="40">
        <f>COUNTIFS(E9:E38,"&lt;&gt;",K9:K38,"&lt;"&amp;TODAY(),K9:K38,"&gt;0",M9:M38,"&lt;&gt;완료",M9:M38,"&lt;&gt;취소")</f>
        <v/>
      </c>
      <c r="J5" s="7" t="n"/>
      <c r="K5" s="8" t="n"/>
      <c r="L5" s="41">
        <f>IF(A5=0,"-",C5/A5)</f>
        <v/>
      </c>
      <c r="M5" s="8" t="n"/>
      <c r="N5" s="42">
        <f>IFERROR(AVERAGEIF(N9:N38,"&gt;0"),"-")</f>
        <v/>
      </c>
      <c r="O5" s="8" t="n"/>
    </row>
    <row r="6" ht="8" customHeight="1"/>
    <row r="7" ht="18" customHeight="1">
      <c r="A7" s="43" t="inlineStr">
        <is>
          <t>아래 표에 바로 입력합니다. 상태가 완료·취소가 아니고 완료기한이 오늘보다 이전이면 기한초과로 집계됩니다.</t>
        </is>
      </c>
    </row>
    <row r="8" ht="24" customHeight="1">
      <c r="A8" s="20" t="inlineStr">
        <is>
          <t>회의일자</t>
        </is>
      </c>
      <c r="B8" s="20" t="inlineStr">
        <is>
          <t>문서번호</t>
        </is>
      </c>
      <c r="C8" s="20" t="inlineStr">
        <is>
          <t>회의명</t>
        </is>
      </c>
      <c r="D8" s="20" t="inlineStr">
        <is>
          <t>No</t>
        </is>
      </c>
      <c r="E8" s="20" t="inlineStr">
        <is>
          <t>실행과제</t>
        </is>
      </c>
      <c r="F8" s="20" t="inlineStr">
        <is>
          <t>완료기준</t>
        </is>
      </c>
      <c r="G8" s="20" t="inlineStr">
        <is>
          <t>담당부서</t>
        </is>
      </c>
      <c r="H8" s="20" t="inlineStr">
        <is>
          <t>담당자</t>
        </is>
      </c>
      <c r="I8" s="20" t="inlineStr">
        <is>
          <t>협조자</t>
        </is>
      </c>
      <c r="J8" s="20" t="inlineStr">
        <is>
          <t>우선순위</t>
        </is>
      </c>
      <c r="K8" s="20" t="inlineStr">
        <is>
          <t>완료기한</t>
        </is>
      </c>
      <c r="L8" s="20" t="inlineStr">
        <is>
          <t>완료일</t>
        </is>
      </c>
      <c r="M8" s="20" t="inlineStr">
        <is>
          <t>상태</t>
        </is>
      </c>
      <c r="N8" s="20" t="inlineStr">
        <is>
          <t>지연일수</t>
        </is>
      </c>
      <c r="O8" s="20" t="inlineStr">
        <is>
          <t>비고</t>
        </is>
      </c>
    </row>
    <row r="9" ht="20" customHeight="1">
      <c r="A9" s="44" t="n"/>
      <c r="B9" s="37" t="n"/>
      <c r="C9" s="6" t="n"/>
      <c r="D9" s="37" t="n"/>
      <c r="E9" s="6" t="n"/>
      <c r="F9" s="6" t="n"/>
      <c r="G9" s="37" t="n"/>
      <c r="H9" s="37" t="n"/>
      <c r="I9" s="37" t="n"/>
      <c r="J9" s="37" t="n"/>
      <c r="K9" s="44" t="n"/>
      <c r="L9" s="44" t="n"/>
      <c r="M9" s="37" t="n"/>
      <c r="N9" s="45">
        <f>IF(E9="","",IF(OR(K9="",M9="",M9="취소"),"",IF(M9="완료",IF(L9="", "",IF(L9&gt;K9,L9-K9,0)),IF(TODAY()&gt;K9,TODAY()-K9,0))))</f>
        <v/>
      </c>
      <c r="O9" s="6" t="n"/>
    </row>
    <row r="10" ht="20" customHeight="1">
      <c r="A10" s="44" t="n"/>
      <c r="B10" s="37" t="n"/>
      <c r="C10" s="6" t="n"/>
      <c r="D10" s="37" t="n"/>
      <c r="E10" s="6" t="n"/>
      <c r="F10" s="6" t="n"/>
      <c r="G10" s="37" t="n"/>
      <c r="H10" s="37" t="n"/>
      <c r="I10" s="37" t="n"/>
      <c r="J10" s="37" t="n"/>
      <c r="K10" s="44" t="n"/>
      <c r="L10" s="44" t="n"/>
      <c r="M10" s="37" t="n"/>
      <c r="N10" s="45">
        <f>IF(E10="","",IF(OR(K10="",M10="",M10="취소"),"",IF(M10="완료",IF(L10="", "",IF(L10&gt;K10,L10-K10,0)),IF(TODAY()&gt;K10,TODAY()-K10,0))))</f>
        <v/>
      </c>
      <c r="O10" s="6" t="n"/>
    </row>
    <row r="11" ht="20" customHeight="1">
      <c r="A11" s="44" t="n"/>
      <c r="B11" s="37" t="n"/>
      <c r="C11" s="6" t="n"/>
      <c r="D11" s="37" t="n"/>
      <c r="E11" s="6" t="n"/>
      <c r="F11" s="6" t="n"/>
      <c r="G11" s="37" t="n"/>
      <c r="H11" s="37" t="n"/>
      <c r="I11" s="37" t="n"/>
      <c r="J11" s="37" t="n"/>
      <c r="K11" s="44" t="n"/>
      <c r="L11" s="44" t="n"/>
      <c r="M11" s="37" t="n"/>
      <c r="N11" s="45">
        <f>IF(E11="","",IF(OR(K11="",M11="",M11="취소"),"",IF(M11="완료",IF(L11="", "",IF(L11&gt;K11,L11-K11,0)),IF(TODAY()&gt;K11,TODAY()-K11,0))))</f>
        <v/>
      </c>
      <c r="O11" s="6" t="n"/>
    </row>
    <row r="12" ht="20" customHeight="1">
      <c r="A12" s="44" t="n"/>
      <c r="B12" s="37" t="n"/>
      <c r="C12" s="6" t="n"/>
      <c r="D12" s="37" t="n"/>
      <c r="E12" s="6" t="n"/>
      <c r="F12" s="6" t="n"/>
      <c r="G12" s="37" t="n"/>
      <c r="H12" s="37" t="n"/>
      <c r="I12" s="37" t="n"/>
      <c r="J12" s="37" t="n"/>
      <c r="K12" s="44" t="n"/>
      <c r="L12" s="44" t="n"/>
      <c r="M12" s="37" t="n"/>
      <c r="N12" s="45">
        <f>IF(E12="","",IF(OR(K12="",M12="",M12="취소"),"",IF(M12="완료",IF(L12="", "",IF(L12&gt;K12,L12-K12,0)),IF(TODAY()&gt;K12,TODAY()-K12,0))))</f>
        <v/>
      </c>
      <c r="O12" s="6" t="n"/>
    </row>
    <row r="13" ht="20" customHeight="1">
      <c r="A13" s="44" t="n"/>
      <c r="B13" s="37" t="n"/>
      <c r="C13" s="6" t="n"/>
      <c r="D13" s="37" t="n"/>
      <c r="E13" s="6" t="n"/>
      <c r="F13" s="6" t="n"/>
      <c r="G13" s="37" t="n"/>
      <c r="H13" s="37" t="n"/>
      <c r="I13" s="37" t="n"/>
      <c r="J13" s="37" t="n"/>
      <c r="K13" s="44" t="n"/>
      <c r="L13" s="44" t="n"/>
      <c r="M13" s="37" t="n"/>
      <c r="N13" s="45">
        <f>IF(E13="","",IF(OR(K13="",M13="",M13="취소"),"",IF(M13="완료",IF(L13="", "",IF(L13&gt;K13,L13-K13,0)),IF(TODAY()&gt;K13,TODAY()-K13,0))))</f>
        <v/>
      </c>
      <c r="O13" s="6" t="n"/>
    </row>
    <row r="14" ht="20" customHeight="1">
      <c r="A14" s="44" t="n"/>
      <c r="B14" s="37" t="n"/>
      <c r="C14" s="6" t="n"/>
      <c r="D14" s="37" t="n"/>
      <c r="E14" s="6" t="n"/>
      <c r="F14" s="6" t="n"/>
      <c r="G14" s="37" t="n"/>
      <c r="H14" s="37" t="n"/>
      <c r="I14" s="37" t="n"/>
      <c r="J14" s="37" t="n"/>
      <c r="K14" s="44" t="n"/>
      <c r="L14" s="44" t="n"/>
      <c r="M14" s="37" t="n"/>
      <c r="N14" s="45">
        <f>IF(E14="","",IF(OR(K14="",M14="",M14="취소"),"",IF(M14="완료",IF(L14="", "",IF(L14&gt;K14,L14-K14,0)),IF(TODAY()&gt;K14,TODAY()-K14,0))))</f>
        <v/>
      </c>
      <c r="O14" s="6" t="n"/>
    </row>
    <row r="15" ht="20" customHeight="1">
      <c r="A15" s="44" t="n"/>
      <c r="B15" s="37" t="n"/>
      <c r="C15" s="6" t="n"/>
      <c r="D15" s="37" t="n"/>
      <c r="E15" s="6" t="n"/>
      <c r="F15" s="6" t="n"/>
      <c r="G15" s="37" t="n"/>
      <c r="H15" s="37" t="n"/>
      <c r="I15" s="37" t="n"/>
      <c r="J15" s="37" t="n"/>
      <c r="K15" s="44" t="n"/>
      <c r="L15" s="44" t="n"/>
      <c r="M15" s="37" t="n"/>
      <c r="N15" s="45">
        <f>IF(E15="","",IF(OR(K15="",M15="",M15="취소"),"",IF(M15="완료",IF(L15="", "",IF(L15&gt;K15,L15-K15,0)),IF(TODAY()&gt;K15,TODAY()-K15,0))))</f>
        <v/>
      </c>
      <c r="O15" s="6" t="n"/>
    </row>
    <row r="16" ht="20" customHeight="1">
      <c r="A16" s="44" t="n"/>
      <c r="B16" s="37" t="n"/>
      <c r="C16" s="6" t="n"/>
      <c r="D16" s="37" t="n"/>
      <c r="E16" s="6" t="n"/>
      <c r="F16" s="6" t="n"/>
      <c r="G16" s="37" t="n"/>
      <c r="H16" s="37" t="n"/>
      <c r="I16" s="37" t="n"/>
      <c r="J16" s="37" t="n"/>
      <c r="K16" s="44" t="n"/>
      <c r="L16" s="44" t="n"/>
      <c r="M16" s="37" t="n"/>
      <c r="N16" s="45">
        <f>IF(E16="","",IF(OR(K16="",M16="",M16="취소"),"",IF(M16="완료",IF(L16="", "",IF(L16&gt;K16,L16-K16,0)),IF(TODAY()&gt;K16,TODAY()-K16,0))))</f>
        <v/>
      </c>
      <c r="O16" s="6" t="n"/>
    </row>
    <row r="17" ht="20" customHeight="1">
      <c r="A17" s="44" t="n"/>
      <c r="B17" s="37" t="n"/>
      <c r="C17" s="6" t="n"/>
      <c r="D17" s="37" t="n"/>
      <c r="E17" s="6" t="n"/>
      <c r="F17" s="6" t="n"/>
      <c r="G17" s="37" t="n"/>
      <c r="H17" s="37" t="n"/>
      <c r="I17" s="37" t="n"/>
      <c r="J17" s="37" t="n"/>
      <c r="K17" s="44" t="n"/>
      <c r="L17" s="44" t="n"/>
      <c r="M17" s="37" t="n"/>
      <c r="N17" s="45">
        <f>IF(E17="","",IF(OR(K17="",M17="",M17="취소"),"",IF(M17="완료",IF(L17="", "",IF(L17&gt;K17,L17-K17,0)),IF(TODAY()&gt;K17,TODAY()-K17,0))))</f>
        <v/>
      </c>
      <c r="O17" s="6" t="n"/>
    </row>
    <row r="18" ht="20" customHeight="1">
      <c r="A18" s="44" t="n"/>
      <c r="B18" s="37" t="n"/>
      <c r="C18" s="6" t="n"/>
      <c r="D18" s="37" t="n"/>
      <c r="E18" s="6" t="n"/>
      <c r="F18" s="6" t="n"/>
      <c r="G18" s="37" t="n"/>
      <c r="H18" s="37" t="n"/>
      <c r="I18" s="37" t="n"/>
      <c r="J18" s="37" t="n"/>
      <c r="K18" s="44" t="n"/>
      <c r="L18" s="44" t="n"/>
      <c r="M18" s="37" t="n"/>
      <c r="N18" s="45">
        <f>IF(E18="","",IF(OR(K18="",M18="",M18="취소"),"",IF(M18="완료",IF(L18="", "",IF(L18&gt;K18,L18-K18,0)),IF(TODAY()&gt;K18,TODAY()-K18,0))))</f>
        <v/>
      </c>
      <c r="O18" s="6" t="n"/>
    </row>
    <row r="19" ht="20" customHeight="1">
      <c r="A19" s="44" t="n"/>
      <c r="B19" s="37" t="n"/>
      <c r="C19" s="6" t="n"/>
      <c r="D19" s="37" t="n"/>
      <c r="E19" s="6" t="n"/>
      <c r="F19" s="6" t="n"/>
      <c r="G19" s="37" t="n"/>
      <c r="H19" s="37" t="n"/>
      <c r="I19" s="37" t="n"/>
      <c r="J19" s="37" t="n"/>
      <c r="K19" s="44" t="n"/>
      <c r="L19" s="44" t="n"/>
      <c r="M19" s="37" t="n"/>
      <c r="N19" s="45">
        <f>IF(E19="","",IF(OR(K19="",M19="",M19="취소"),"",IF(M19="완료",IF(L19="", "",IF(L19&gt;K19,L19-K19,0)),IF(TODAY()&gt;K19,TODAY()-K19,0))))</f>
        <v/>
      </c>
      <c r="O19" s="6" t="n"/>
    </row>
    <row r="20" ht="20" customHeight="1">
      <c r="A20" s="44" t="n"/>
      <c r="B20" s="37" t="n"/>
      <c r="C20" s="6" t="n"/>
      <c r="D20" s="37" t="n"/>
      <c r="E20" s="6" t="n"/>
      <c r="F20" s="6" t="n"/>
      <c r="G20" s="37" t="n"/>
      <c r="H20" s="37" t="n"/>
      <c r="I20" s="37" t="n"/>
      <c r="J20" s="37" t="n"/>
      <c r="K20" s="44" t="n"/>
      <c r="L20" s="44" t="n"/>
      <c r="M20" s="37" t="n"/>
      <c r="N20" s="45">
        <f>IF(E20="","",IF(OR(K20="",M20="",M20="취소"),"",IF(M20="완료",IF(L20="", "",IF(L20&gt;K20,L20-K20,0)),IF(TODAY()&gt;K20,TODAY()-K20,0))))</f>
        <v/>
      </c>
      <c r="O20" s="6" t="n"/>
    </row>
    <row r="21" ht="20" customHeight="1">
      <c r="A21" s="44" t="n"/>
      <c r="B21" s="37" t="n"/>
      <c r="C21" s="6" t="n"/>
      <c r="D21" s="37" t="n"/>
      <c r="E21" s="6" t="n"/>
      <c r="F21" s="6" t="n"/>
      <c r="G21" s="37" t="n"/>
      <c r="H21" s="37" t="n"/>
      <c r="I21" s="37" t="n"/>
      <c r="J21" s="37" t="n"/>
      <c r="K21" s="44" t="n"/>
      <c r="L21" s="44" t="n"/>
      <c r="M21" s="37" t="n"/>
      <c r="N21" s="45">
        <f>IF(E21="","",IF(OR(K21="",M21="",M21="취소"),"",IF(M21="완료",IF(L21="", "",IF(L21&gt;K21,L21-K21,0)),IF(TODAY()&gt;K21,TODAY()-K21,0))))</f>
        <v/>
      </c>
      <c r="O21" s="6" t="n"/>
    </row>
    <row r="22" ht="20" customHeight="1">
      <c r="A22" s="44" t="n"/>
      <c r="B22" s="37" t="n"/>
      <c r="C22" s="6" t="n"/>
      <c r="D22" s="37" t="n"/>
      <c r="E22" s="6" t="n"/>
      <c r="F22" s="6" t="n"/>
      <c r="G22" s="37" t="n"/>
      <c r="H22" s="37" t="n"/>
      <c r="I22" s="37" t="n"/>
      <c r="J22" s="37" t="n"/>
      <c r="K22" s="44" t="n"/>
      <c r="L22" s="44" t="n"/>
      <c r="M22" s="37" t="n"/>
      <c r="N22" s="45">
        <f>IF(E22="","",IF(OR(K22="",M22="",M22="취소"),"",IF(M22="완료",IF(L22="", "",IF(L22&gt;K22,L22-K22,0)),IF(TODAY()&gt;K22,TODAY()-K22,0))))</f>
        <v/>
      </c>
      <c r="O22" s="6" t="n"/>
    </row>
    <row r="23" ht="20" customHeight="1">
      <c r="A23" s="44" t="n"/>
      <c r="B23" s="37" t="n"/>
      <c r="C23" s="6" t="n"/>
      <c r="D23" s="37" t="n"/>
      <c r="E23" s="6" t="n"/>
      <c r="F23" s="6" t="n"/>
      <c r="G23" s="37" t="n"/>
      <c r="H23" s="37" t="n"/>
      <c r="I23" s="37" t="n"/>
      <c r="J23" s="37" t="n"/>
      <c r="K23" s="44" t="n"/>
      <c r="L23" s="44" t="n"/>
      <c r="M23" s="37" t="n"/>
      <c r="N23" s="45">
        <f>IF(E23="","",IF(OR(K23="",M23="",M23="취소"),"",IF(M23="완료",IF(L23="", "",IF(L23&gt;K23,L23-K23,0)),IF(TODAY()&gt;K23,TODAY()-K23,0))))</f>
        <v/>
      </c>
      <c r="O23" s="6" t="n"/>
    </row>
    <row r="24" ht="20" customHeight="1">
      <c r="A24" s="44" t="n"/>
      <c r="B24" s="37" t="n"/>
      <c r="C24" s="6" t="n"/>
      <c r="D24" s="37" t="n"/>
      <c r="E24" s="6" t="n"/>
      <c r="F24" s="6" t="n"/>
      <c r="G24" s="37" t="n"/>
      <c r="H24" s="37" t="n"/>
      <c r="I24" s="37" t="n"/>
      <c r="J24" s="37" t="n"/>
      <c r="K24" s="44" t="n"/>
      <c r="L24" s="44" t="n"/>
      <c r="M24" s="37" t="n"/>
      <c r="N24" s="45">
        <f>IF(E24="","",IF(OR(K24="",M24="",M24="취소"),"",IF(M24="완료",IF(L24="", "",IF(L24&gt;K24,L24-K24,0)),IF(TODAY()&gt;K24,TODAY()-K24,0))))</f>
        <v/>
      </c>
      <c r="O24" s="6" t="n"/>
    </row>
    <row r="25" ht="20" customHeight="1">
      <c r="A25" s="44" t="n"/>
      <c r="B25" s="37" t="n"/>
      <c r="C25" s="6" t="n"/>
      <c r="D25" s="37" t="n"/>
      <c r="E25" s="6" t="n"/>
      <c r="F25" s="6" t="n"/>
      <c r="G25" s="37" t="n"/>
      <c r="H25" s="37" t="n"/>
      <c r="I25" s="37" t="n"/>
      <c r="J25" s="37" t="n"/>
      <c r="K25" s="44" t="n"/>
      <c r="L25" s="44" t="n"/>
      <c r="M25" s="37" t="n"/>
      <c r="N25" s="45">
        <f>IF(E25="","",IF(OR(K25="",M25="",M25="취소"),"",IF(M25="완료",IF(L25="", "",IF(L25&gt;K25,L25-K25,0)),IF(TODAY()&gt;K25,TODAY()-K25,0))))</f>
        <v/>
      </c>
      <c r="O25" s="6" t="n"/>
    </row>
    <row r="26" ht="20" customHeight="1">
      <c r="A26" s="44" t="n"/>
      <c r="B26" s="37" t="n"/>
      <c r="C26" s="6" t="n"/>
      <c r="D26" s="37" t="n"/>
      <c r="E26" s="6" t="n"/>
      <c r="F26" s="6" t="n"/>
      <c r="G26" s="37" t="n"/>
      <c r="H26" s="37" t="n"/>
      <c r="I26" s="37" t="n"/>
      <c r="J26" s="37" t="n"/>
      <c r="K26" s="44" t="n"/>
      <c r="L26" s="44" t="n"/>
      <c r="M26" s="37" t="n"/>
      <c r="N26" s="45">
        <f>IF(E26="","",IF(OR(K26="",M26="",M26="취소"),"",IF(M26="완료",IF(L26="", "",IF(L26&gt;K26,L26-K26,0)),IF(TODAY()&gt;K26,TODAY()-K26,0))))</f>
        <v/>
      </c>
      <c r="O26" s="6" t="n"/>
    </row>
    <row r="27" ht="20" customHeight="1">
      <c r="A27" s="44" t="n"/>
      <c r="B27" s="37" t="n"/>
      <c r="C27" s="6" t="n"/>
      <c r="D27" s="37" t="n"/>
      <c r="E27" s="6" t="n"/>
      <c r="F27" s="6" t="n"/>
      <c r="G27" s="37" t="n"/>
      <c r="H27" s="37" t="n"/>
      <c r="I27" s="37" t="n"/>
      <c r="J27" s="37" t="n"/>
      <c r="K27" s="44" t="n"/>
      <c r="L27" s="44" t="n"/>
      <c r="M27" s="37" t="n"/>
      <c r="N27" s="45">
        <f>IF(E27="","",IF(OR(K27="",M27="",M27="취소"),"",IF(M27="완료",IF(L27="", "",IF(L27&gt;K27,L27-K27,0)),IF(TODAY()&gt;K27,TODAY()-K27,0))))</f>
        <v/>
      </c>
      <c r="O27" s="6" t="n"/>
    </row>
    <row r="28" ht="20" customHeight="1">
      <c r="A28" s="44" t="n"/>
      <c r="B28" s="37" t="n"/>
      <c r="C28" s="6" t="n"/>
      <c r="D28" s="37" t="n"/>
      <c r="E28" s="6" t="n"/>
      <c r="F28" s="6" t="n"/>
      <c r="G28" s="37" t="n"/>
      <c r="H28" s="37" t="n"/>
      <c r="I28" s="37" t="n"/>
      <c r="J28" s="37" t="n"/>
      <c r="K28" s="44" t="n"/>
      <c r="L28" s="44" t="n"/>
      <c r="M28" s="37" t="n"/>
      <c r="N28" s="45">
        <f>IF(E28="","",IF(OR(K28="",M28="",M28="취소"),"",IF(M28="완료",IF(L28="", "",IF(L28&gt;K28,L28-K28,0)),IF(TODAY()&gt;K28,TODAY()-K28,0))))</f>
        <v/>
      </c>
      <c r="O28" s="6" t="n"/>
    </row>
    <row r="29" ht="20" customHeight="1">
      <c r="A29" s="44" t="n"/>
      <c r="B29" s="37" t="n"/>
      <c r="C29" s="6" t="n"/>
      <c r="D29" s="37" t="n"/>
      <c r="E29" s="6" t="n"/>
      <c r="F29" s="6" t="n"/>
      <c r="G29" s="37" t="n"/>
      <c r="H29" s="37" t="n"/>
      <c r="I29" s="37" t="n"/>
      <c r="J29" s="37" t="n"/>
      <c r="K29" s="44" t="n"/>
      <c r="L29" s="44" t="n"/>
      <c r="M29" s="37" t="n"/>
      <c r="N29" s="45">
        <f>IF(E29="","",IF(OR(K29="",M29="",M29="취소"),"",IF(M29="완료",IF(L29="", "",IF(L29&gt;K29,L29-K29,0)),IF(TODAY()&gt;K29,TODAY()-K29,0))))</f>
        <v/>
      </c>
      <c r="O29" s="6" t="n"/>
    </row>
    <row r="30" ht="20" customHeight="1">
      <c r="A30" s="44" t="n"/>
      <c r="B30" s="37" t="n"/>
      <c r="C30" s="6" t="n"/>
      <c r="D30" s="37" t="n"/>
      <c r="E30" s="6" t="n"/>
      <c r="F30" s="6" t="n"/>
      <c r="G30" s="37" t="n"/>
      <c r="H30" s="37" t="n"/>
      <c r="I30" s="37" t="n"/>
      <c r="J30" s="37" t="n"/>
      <c r="K30" s="44" t="n"/>
      <c r="L30" s="44" t="n"/>
      <c r="M30" s="37" t="n"/>
      <c r="N30" s="45">
        <f>IF(E30="","",IF(OR(K30="",M30="",M30="취소"),"",IF(M30="완료",IF(L30="", "",IF(L30&gt;K30,L30-K30,0)),IF(TODAY()&gt;K30,TODAY()-K30,0))))</f>
        <v/>
      </c>
      <c r="O30" s="6" t="n"/>
    </row>
    <row r="31" ht="20" customHeight="1">
      <c r="A31" s="44" t="n"/>
      <c r="B31" s="37" t="n"/>
      <c r="C31" s="6" t="n"/>
      <c r="D31" s="37" t="n"/>
      <c r="E31" s="6" t="n"/>
      <c r="F31" s="6" t="n"/>
      <c r="G31" s="37" t="n"/>
      <c r="H31" s="37" t="n"/>
      <c r="I31" s="37" t="n"/>
      <c r="J31" s="37" t="n"/>
      <c r="K31" s="44" t="n"/>
      <c r="L31" s="44" t="n"/>
      <c r="M31" s="37" t="n"/>
      <c r="N31" s="45">
        <f>IF(E31="","",IF(OR(K31="",M31="",M31="취소"),"",IF(M31="완료",IF(L31="", "",IF(L31&gt;K31,L31-K31,0)),IF(TODAY()&gt;K31,TODAY()-K31,0))))</f>
        <v/>
      </c>
      <c r="O31" s="6" t="n"/>
    </row>
    <row r="32" ht="20" customHeight="1">
      <c r="A32" s="44" t="n"/>
      <c r="B32" s="37" t="n"/>
      <c r="C32" s="6" t="n"/>
      <c r="D32" s="37" t="n"/>
      <c r="E32" s="6" t="n"/>
      <c r="F32" s="6" t="n"/>
      <c r="G32" s="37" t="n"/>
      <c r="H32" s="37" t="n"/>
      <c r="I32" s="37" t="n"/>
      <c r="J32" s="37" t="n"/>
      <c r="K32" s="44" t="n"/>
      <c r="L32" s="44" t="n"/>
      <c r="M32" s="37" t="n"/>
      <c r="N32" s="45">
        <f>IF(E32="","",IF(OR(K32="",M32="",M32="취소"),"",IF(M32="완료",IF(L32="", "",IF(L32&gt;K32,L32-K32,0)),IF(TODAY()&gt;K32,TODAY()-K32,0))))</f>
        <v/>
      </c>
      <c r="O32" s="6" t="n"/>
    </row>
    <row r="33" ht="20" customHeight="1">
      <c r="A33" s="44" t="n"/>
      <c r="B33" s="37" t="n"/>
      <c r="C33" s="6" t="n"/>
      <c r="D33" s="37" t="n"/>
      <c r="E33" s="6" t="n"/>
      <c r="F33" s="6" t="n"/>
      <c r="G33" s="37" t="n"/>
      <c r="H33" s="37" t="n"/>
      <c r="I33" s="37" t="n"/>
      <c r="J33" s="37" t="n"/>
      <c r="K33" s="44" t="n"/>
      <c r="L33" s="44" t="n"/>
      <c r="M33" s="37" t="n"/>
      <c r="N33" s="45">
        <f>IF(E33="","",IF(OR(K33="",M33="",M33="취소"),"",IF(M33="완료",IF(L33="", "",IF(L33&gt;K33,L33-K33,0)),IF(TODAY()&gt;K33,TODAY()-K33,0))))</f>
        <v/>
      </c>
      <c r="O33" s="6" t="n"/>
    </row>
    <row r="34" ht="20" customHeight="1">
      <c r="A34" s="44" t="n"/>
      <c r="B34" s="37" t="n"/>
      <c r="C34" s="6" t="n"/>
      <c r="D34" s="37" t="n"/>
      <c r="E34" s="6" t="n"/>
      <c r="F34" s="6" t="n"/>
      <c r="G34" s="37" t="n"/>
      <c r="H34" s="37" t="n"/>
      <c r="I34" s="37" t="n"/>
      <c r="J34" s="37" t="n"/>
      <c r="K34" s="44" t="n"/>
      <c r="L34" s="44" t="n"/>
      <c r="M34" s="37" t="n"/>
      <c r="N34" s="45">
        <f>IF(E34="","",IF(OR(K34="",M34="",M34="취소"),"",IF(M34="완료",IF(L34="", "",IF(L34&gt;K34,L34-K34,0)),IF(TODAY()&gt;K34,TODAY()-K34,0))))</f>
        <v/>
      </c>
      <c r="O34" s="6" t="n"/>
    </row>
    <row r="35" ht="20" customHeight="1">
      <c r="A35" s="44" t="n"/>
      <c r="B35" s="37" t="n"/>
      <c r="C35" s="6" t="n"/>
      <c r="D35" s="37" t="n"/>
      <c r="E35" s="6" t="n"/>
      <c r="F35" s="6" t="n"/>
      <c r="G35" s="37" t="n"/>
      <c r="H35" s="37" t="n"/>
      <c r="I35" s="37" t="n"/>
      <c r="J35" s="37" t="n"/>
      <c r="K35" s="44" t="n"/>
      <c r="L35" s="44" t="n"/>
      <c r="M35" s="37" t="n"/>
      <c r="N35" s="45">
        <f>IF(E35="","",IF(OR(K35="",M35="",M35="취소"),"",IF(M35="완료",IF(L35="", "",IF(L35&gt;K35,L35-K35,0)),IF(TODAY()&gt;K35,TODAY()-K35,0))))</f>
        <v/>
      </c>
      <c r="O35" s="6" t="n"/>
    </row>
    <row r="36" ht="20" customHeight="1">
      <c r="A36" s="44" t="n"/>
      <c r="B36" s="37" t="n"/>
      <c r="C36" s="6" t="n"/>
      <c r="D36" s="37" t="n"/>
      <c r="E36" s="6" t="n"/>
      <c r="F36" s="6" t="n"/>
      <c r="G36" s="37" t="n"/>
      <c r="H36" s="37" t="n"/>
      <c r="I36" s="37" t="n"/>
      <c r="J36" s="37" t="n"/>
      <c r="K36" s="44" t="n"/>
      <c r="L36" s="44" t="n"/>
      <c r="M36" s="37" t="n"/>
      <c r="N36" s="45">
        <f>IF(E36="","",IF(OR(K36="",M36="",M36="취소"),"",IF(M36="완료",IF(L36="", "",IF(L36&gt;K36,L36-K36,0)),IF(TODAY()&gt;K36,TODAY()-K36,0))))</f>
        <v/>
      </c>
      <c r="O36" s="6" t="n"/>
    </row>
    <row r="37" ht="20" customHeight="1">
      <c r="A37" s="44" t="n"/>
      <c r="B37" s="37" t="n"/>
      <c r="C37" s="6" t="n"/>
      <c r="D37" s="37" t="n"/>
      <c r="E37" s="6" t="n"/>
      <c r="F37" s="6" t="n"/>
      <c r="G37" s="37" t="n"/>
      <c r="H37" s="37" t="n"/>
      <c r="I37" s="37" t="n"/>
      <c r="J37" s="37" t="n"/>
      <c r="K37" s="44" t="n"/>
      <c r="L37" s="44" t="n"/>
      <c r="M37" s="37" t="n"/>
      <c r="N37" s="45">
        <f>IF(E37="","",IF(OR(K37="",M37="",M37="취소"),"",IF(M37="완료",IF(L37="", "",IF(L37&gt;K37,L37-K37,0)),IF(TODAY()&gt;K37,TODAY()-K37,0))))</f>
        <v/>
      </c>
      <c r="O37" s="6" t="n"/>
    </row>
    <row r="38" ht="20" customHeight="1">
      <c r="A38" s="44" t="n"/>
      <c r="B38" s="37" t="n"/>
      <c r="C38" s="6" t="n"/>
      <c r="D38" s="37" t="n"/>
      <c r="E38" s="6" t="n"/>
      <c r="F38" s="6" t="n"/>
      <c r="G38" s="37" t="n"/>
      <c r="H38" s="37" t="n"/>
      <c r="I38" s="37" t="n"/>
      <c r="J38" s="37" t="n"/>
      <c r="K38" s="44" t="n"/>
      <c r="L38" s="44" t="n"/>
      <c r="M38" s="37" t="n"/>
      <c r="N38" s="45">
        <f>IF(E38="","",IF(OR(K38="",M38="",M38="취소"),"",IF(M38="완료",IF(L38="", "",IF(L38&gt;K38,L38-K38,0)),IF(TODAY()&gt;K38,TODAY()-K38,0))))</f>
        <v/>
      </c>
      <c r="O38" s="6" t="n"/>
    </row>
  </sheetData>
  <mergeCells count="17">
    <mergeCell ref="A4:B4"/>
    <mergeCell ref="G4:H4"/>
    <mergeCell ref="E4:F4"/>
    <mergeCell ref="A7:O7"/>
    <mergeCell ref="A2:O2"/>
    <mergeCell ref="L4:M4"/>
    <mergeCell ref="I5:K5"/>
    <mergeCell ref="C5:D5"/>
    <mergeCell ref="A5:B5"/>
    <mergeCell ref="G5:H5"/>
    <mergeCell ref="A1:O1"/>
    <mergeCell ref="E5:F5"/>
    <mergeCell ref="L5:M5"/>
    <mergeCell ref="I4:K4"/>
    <mergeCell ref="N5:O5"/>
    <mergeCell ref="N4:O4"/>
    <mergeCell ref="C4:D4"/>
  </mergeCells>
  <conditionalFormatting sqref="I5">
    <cfRule type="expression" priority="1" dxfId="6">
      <formula>AND(ISNUMBER(I5),I5&gt;0)</formula>
    </cfRule>
  </conditionalFormatting>
  <conditionalFormatting sqref="M9:M38">
    <cfRule type="cellIs" priority="2" operator="equal" dxfId="2">
      <formula>"완료"</formula>
    </cfRule>
    <cfRule type="cellIs" priority="3" operator="equal" dxfId="3">
      <formula>"진행"</formula>
    </cfRule>
    <cfRule type="cellIs" priority="4" operator="equal" dxfId="4">
      <formula>"미착수"</formula>
    </cfRule>
    <cfRule type="cellIs" priority="5" operator="equal" dxfId="1">
      <formula>"보류"</formula>
    </cfRule>
  </conditionalFormatting>
  <conditionalFormatting sqref="J9:J38">
    <cfRule type="cellIs" priority="6" operator="equal" dxfId="0">
      <formula>"긴급"</formula>
    </cfRule>
    <cfRule type="cellIs" priority="7" operator="equal" dxfId="1">
      <formula>"높음"</formula>
    </cfRule>
  </conditionalFormatting>
  <conditionalFormatting sqref="K9:K38">
    <cfRule type="expression" priority="8" dxfId="0">
      <formula>AND(E9&lt;&gt;"",K9&lt;&gt;"",K9&lt;TODAY(),M9&lt;&gt;"완료",M9&lt;&gt;"취소")</formula>
    </cfRule>
  </conditionalFormatting>
  <conditionalFormatting sqref="N9:N38">
    <cfRule type="expression" priority="9" dxfId="0">
      <formula>AND(ISNUMBER(N9),N9&gt;0,M9&lt;&gt;"완료")</formula>
    </cfRule>
    <cfRule type="expression" priority="10" dxfId="1">
      <formula>AND(ISNUMBER(N9),N9&gt;0,M9="완료")</formula>
    </cfRule>
  </conditionalFormatting>
  <dataValidations count="2">
    <dataValidation sqref="J9:J38" showDropDown="0" showInputMessage="0" showErrorMessage="1" allowBlank="1" errorTitle="입력 확인" error="목록에 있는 값을 선택해 주세요." type="list">
      <formula1>=ListPriority</formula1>
    </dataValidation>
    <dataValidation sqref="M9:M38" showDropDown="0" showInputMessage="0" showErrorMessage="1" allowBlank="1" errorTitle="입력 확인" error="목록에 있는 값을 선택해 주세요." type="list">
      <formula1>=ListActionStatus</formula1>
    </dataValidation>
  </dataValidations>
  <printOptions horizontalCentered="1"/>
  <pageMargins left="0.45" right="0.45" top="0.5" bottom="0.42" header="0.2" footer="0.2"/>
  <pageSetup orientation="landscape" paperSize="9" scale="100" fitToHeight="0" fitToWidth="1" pageOrder="downThenOver"/>
  <headerFooter>
    <oddHeader>&amp;L&amp;"맑은 고딕,Bold"&amp;9라인소프트(주)&amp;R&amp;"맑은 고딕"&amp;9실행과제 대장</oddHeader>
    <oddFooter>&amp;L&amp;"맑은 고딕"&amp;8실행과제 대장&amp;C&amp;"맑은 고딕"&amp;8&amp;P / &amp;N&amp;R&amp;"맑은 고딕"&amp;8종료 후 1영업일 내 배포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D4E89"/>
    <outlinePr summaryBelow="1" summaryRight="1"/>
    <pageSetUpPr fitToPage="1"/>
  </sheetPr>
  <dimension ref="A1:H4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1" defaultRowHeight="18"/>
  <cols>
    <col width="8" customWidth="1" min="1" max="1"/>
    <col width="42" customWidth="1" min="2" max="2"/>
    <col width="42" customWidth="1" min="3" max="3"/>
    <col width="18" customWidth="1" min="4" max="4"/>
    <col width="22" customWidth="1" min="5" max="5"/>
    <col width="18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0" customHeight="1">
      <c r="A1" s="38" t="inlineStr">
        <is>
          <t>회의록 작성기준</t>
        </is>
      </c>
    </row>
    <row r="2" ht="20" customHeight="1">
      <c r="A2" s="2" t="inlineStr">
        <is>
          <t>좋은 회의록은 누가 무엇을 언제까지 끝내기로 했는지를 나중에 읽어도 그대로 실행할 수 있게 남긴 기록입니다.</t>
        </is>
      </c>
    </row>
    <row r="4" ht="22" customHeight="1">
      <c r="A4" s="46" t="inlineStr">
        <is>
          <t>한 장의 회의록이 갖춰야 할 여섯 가지</t>
        </is>
      </c>
      <c r="B4" s="7" t="n"/>
      <c r="C4" s="7" t="n"/>
      <c r="D4" s="7" t="n"/>
      <c r="E4" s="7" t="n"/>
      <c r="F4" s="7" t="n"/>
      <c r="G4" s="7" t="n"/>
      <c r="H4" s="8" t="n"/>
    </row>
    <row r="5" ht="32" customHeight="1">
      <c r="A5" s="47" t="inlineStr">
        <is>
          <t>1</t>
        </is>
      </c>
      <c r="B5" s="48" t="inlineStr">
        <is>
          <t>결정과 논의를 분리한다</t>
        </is>
      </c>
      <c r="C5" s="49" t="inlineStr">
        <is>
          <t>논의 칸에는 나온 사실과 의견을, 결정 칸에는 합의된 결론만 적는다. 결론이 없으면 ‘결정 없음’이다.</t>
        </is>
      </c>
      <c r="D5" s="7" t="n"/>
      <c r="E5" s="7" t="n"/>
      <c r="F5" s="7" t="n"/>
      <c r="G5" s="7" t="n"/>
      <c r="H5" s="8" t="n"/>
    </row>
    <row r="6" ht="32" customHeight="1">
      <c r="A6" s="47" t="inlineStr">
        <is>
          <t>2</t>
        </is>
      </c>
      <c r="B6" s="48" t="inlineStr">
        <is>
          <t>과제는 담당 1인·기한·완료 기준을 갖는다</t>
        </is>
      </c>
      <c r="C6" s="49" t="inlineStr">
        <is>
          <t>담당이 여럿이면 책임이 사라진다. 완료 기준은 결과물을 보면 끝났는지 알 수 있어야 한다.</t>
        </is>
      </c>
      <c r="D6" s="7" t="n"/>
      <c r="E6" s="7" t="n"/>
      <c r="F6" s="7" t="n"/>
      <c r="G6" s="7" t="n"/>
      <c r="H6" s="8" t="n"/>
    </row>
    <row r="7" ht="32" customHeight="1">
      <c r="A7" s="47" t="inlineStr">
        <is>
          <t>3</t>
        </is>
      </c>
      <c r="B7" s="48" t="inlineStr">
        <is>
          <t>전회 약속을 먼저 확인한다</t>
        </is>
      </c>
      <c r="C7" s="49" t="inlineStr">
        <is>
          <t>지난 과제의 이행을 보기 전에 새 안건으로 넘어가지 않는다. 지연은 이번 과제에 다시 올린다.</t>
        </is>
      </c>
      <c r="D7" s="7" t="n"/>
      <c r="E7" s="7" t="n"/>
      <c r="F7" s="7" t="n"/>
      <c r="G7" s="7" t="n"/>
      <c r="H7" s="8" t="n"/>
    </row>
    <row r="8" ht="32" customHeight="1">
      <c r="A8" s="47" t="inlineStr">
        <is>
          <t>4</t>
        </is>
      </c>
      <c r="B8" s="48" t="inlineStr">
        <is>
          <t>참석·불참·위임을 남긴다</t>
        </is>
      </c>
      <c r="C8" s="49" t="inlineStr">
        <is>
          <t>불참과 위임은 사유가 있어야 한다. 대상 인원과 출석·불참·위임의 합이 같아야 한다.</t>
        </is>
      </c>
      <c r="D8" s="7" t="n"/>
      <c r="E8" s="7" t="n"/>
      <c r="F8" s="7" t="n"/>
      <c r="G8" s="7" t="n"/>
      <c r="H8" s="8" t="n"/>
    </row>
    <row r="9" ht="32" customHeight="1">
      <c r="A9" s="47" t="inlineStr">
        <is>
          <t>5</t>
        </is>
      </c>
      <c r="B9" s="48" t="inlineStr">
        <is>
          <t>배포 뒤 이의 기간을 둔다</t>
        </is>
      </c>
      <c r="C9" s="49" t="inlineStr">
        <is>
          <t>종료 후 1영업일 내 배포, 배포 후 2영업일 내 이의. 이의가 없으면 확인으로 본다.</t>
        </is>
      </c>
      <c r="D9" s="7" t="n"/>
      <c r="E9" s="7" t="n"/>
      <c r="F9" s="7" t="n"/>
      <c r="G9" s="7" t="n"/>
      <c r="H9" s="8" t="n"/>
    </row>
    <row r="10" ht="32" customHeight="1">
      <c r="A10" s="47" t="inlineStr">
        <is>
          <t>6</t>
        </is>
      </c>
      <c r="B10" s="48" t="inlineStr">
        <is>
          <t>문서번호로 다음 회의와 잇는다</t>
        </is>
      </c>
      <c r="C10" s="49" t="inlineStr">
        <is>
          <t>전회 문서번호를 적으면 과제의 출처가 남는다. 같은 번호는 다시 쓰지 않는다.</t>
        </is>
      </c>
      <c r="D10" s="7" t="n"/>
      <c r="E10" s="7" t="n"/>
      <c r="F10" s="7" t="n"/>
      <c r="G10" s="7" t="n"/>
      <c r="H10" s="8" t="n"/>
    </row>
    <row r="12" ht="22" customHeight="1">
      <c r="A12" s="46" t="inlineStr">
        <is>
          <t>이렇게 쓰지 않는다  /  이렇게 쓴다</t>
        </is>
      </c>
      <c r="B12" s="7" t="n"/>
      <c r="C12" s="7" t="n"/>
      <c r="D12" s="7" t="n"/>
      <c r="E12" s="7" t="n"/>
      <c r="F12" s="7" t="n"/>
      <c r="G12" s="7" t="n"/>
      <c r="H12" s="8" t="n"/>
    </row>
    <row r="13" ht="20" customHeight="1">
      <c r="A13" s="50" t="inlineStr">
        <is>
          <t>피할 표현</t>
        </is>
      </c>
      <c r="B13" s="7" t="n"/>
      <c r="C13" s="7" t="n"/>
      <c r="D13" s="8" t="n"/>
      <c r="E13" s="51" t="inlineStr">
        <is>
          <t>권장 표현</t>
        </is>
      </c>
      <c r="F13" s="7" t="n"/>
      <c r="G13" s="7" t="n"/>
      <c r="H13" s="8" t="n"/>
    </row>
    <row r="14" ht="28" customHeight="1">
      <c r="A14" s="52" t="inlineStr">
        <is>
          <t>검토하기로 함</t>
        </is>
      </c>
      <c r="B14" s="7" t="n"/>
      <c r="C14" s="7" t="n"/>
      <c r="D14" s="8" t="n"/>
      <c r="E14" s="53" t="inlineStr">
        <is>
          <t>김민수가 10/20까지 3개 사 비교표 1부를 작성해 주재자에게 보낸다.</t>
        </is>
      </c>
      <c r="F14" s="7" t="n"/>
      <c r="G14" s="7" t="n"/>
      <c r="H14" s="8" t="n"/>
    </row>
    <row r="15" ht="28" customHeight="1">
      <c r="A15" s="52" t="inlineStr">
        <is>
          <t>담당: 개발팀</t>
        </is>
      </c>
      <c r="B15" s="7" t="n"/>
      <c r="C15" s="7" t="n"/>
      <c r="D15" s="8" t="n"/>
      <c r="E15" s="53" t="inlineStr">
        <is>
          <t>담당: 이서연 1인. 협조: 김민수. 완료 기준: 룰 정의서 1부.</t>
        </is>
      </c>
      <c r="F15" s="7" t="n"/>
      <c r="G15" s="7" t="n"/>
      <c r="H15" s="8" t="n"/>
    </row>
    <row r="16" ht="28" customHeight="1">
      <c r="A16" s="52" t="inlineStr">
        <is>
          <t>다음 주에 다시 논의</t>
        </is>
      </c>
      <c r="B16" s="7" t="n"/>
      <c r="C16" s="7" t="n"/>
      <c r="D16" s="8" t="n"/>
      <c r="E16" s="53" t="inlineStr">
        <is>
          <t>결정 없음. 10/20 주간회의 안건 1로 재상정. 이서연이 선택지 2개를 준비.</t>
        </is>
      </c>
      <c r="F16" s="7" t="n"/>
      <c r="G16" s="7" t="n"/>
      <c r="H16" s="8" t="n"/>
    </row>
    <row r="17" ht="28" customHeight="1">
      <c r="A17" s="52" t="inlineStr">
        <is>
          <t>대략 합의함</t>
        </is>
      </c>
      <c r="B17" s="7" t="n"/>
      <c r="C17" s="7" t="n"/>
      <c r="D17" s="8" t="n"/>
      <c r="E17" s="53" t="inlineStr">
        <is>
          <t>가결. 시연 범위는 대시보드 4화면과 알람 목록. API 연동은 제외.</t>
        </is>
      </c>
      <c r="F17" s="7" t="n"/>
      <c r="G17" s="7" t="n"/>
      <c r="H17" s="8" t="n"/>
    </row>
    <row r="18" ht="28" customHeight="1">
      <c r="A18" s="52" t="inlineStr">
        <is>
          <t>불참: 최유진</t>
        </is>
      </c>
      <c r="B18" s="7" t="n"/>
      <c r="C18" s="7" t="n"/>
      <c r="D18" s="8" t="n"/>
      <c r="E18" s="53" t="inlineStr">
        <is>
          <t>불참이 아니라 위임. 사유: 외부 교육. 수임자: 김민수.</t>
        </is>
      </c>
      <c r="F18" s="7" t="n"/>
      <c r="G18" s="7" t="n"/>
      <c r="H18" s="8" t="n"/>
    </row>
    <row r="20" ht="22" customHeight="1">
      <c r="A20" s="46" t="inlineStr">
        <is>
          <t>배포 전 자가점검     10항 이상 양호일 때 배포합니다. 양식 버전 1.0</t>
        </is>
      </c>
      <c r="B20" s="7" t="n"/>
      <c r="C20" s="7" t="n"/>
      <c r="D20" s="7" t="n"/>
      <c r="E20" s="7" t="n"/>
      <c r="F20" s="7" t="n"/>
      <c r="G20" s="7" t="n"/>
      <c r="H20" s="8" t="n"/>
    </row>
    <row r="21" ht="20" customHeight="1">
      <c r="A21" s="20" t="inlineStr">
        <is>
          <t>No</t>
        </is>
      </c>
      <c r="B21" s="20" t="inlineStr">
        <is>
          <t>점검 항목</t>
        </is>
      </c>
      <c r="C21" s="7" t="n"/>
      <c r="D21" s="7" t="n"/>
      <c r="E21" s="7" t="n"/>
      <c r="F21" s="8" t="n"/>
      <c r="G21" s="20" t="inlineStr">
        <is>
          <t>결과</t>
        </is>
      </c>
      <c r="H21" s="8" t="n"/>
    </row>
    <row r="22" ht="20" customHeight="1">
      <c r="A22" s="21" t="n">
        <v>1</v>
      </c>
      <c r="B22" s="6" t="inlineStr">
        <is>
          <t>회의 목적이 한 문장으로 적혀 있다</t>
        </is>
      </c>
      <c r="C22" s="7" t="n"/>
      <c r="D22" s="7" t="n"/>
      <c r="E22" s="7" t="n"/>
      <c r="F22" s="8" t="n"/>
      <c r="G22" s="37" t="n"/>
      <c r="H22" s="8" t="n"/>
    </row>
    <row r="23" ht="20" customHeight="1">
      <c r="A23" s="21" t="n">
        <v>2</v>
      </c>
      <c r="B23" s="6" t="inlineStr">
        <is>
          <t>시작·종료 시각이 있어 소요 시간이 계산된다</t>
        </is>
      </c>
      <c r="C23" s="7" t="n"/>
      <c r="D23" s="7" t="n"/>
      <c r="E23" s="7" t="n"/>
      <c r="F23" s="8" t="n"/>
      <c r="G23" s="37" t="n"/>
      <c r="H23" s="8" t="n"/>
    </row>
    <row r="24" ht="20" customHeight="1">
      <c r="A24" s="21" t="n">
        <v>3</v>
      </c>
      <c r="B24" s="6" t="inlineStr">
        <is>
          <t>참석·불참·위임이 구분되고, 불참·위임에는 사유가 있다</t>
        </is>
      </c>
      <c r="C24" s="7" t="n"/>
      <c r="D24" s="7" t="n"/>
      <c r="E24" s="7" t="n"/>
      <c r="F24" s="8" t="n"/>
      <c r="G24" s="37" t="n"/>
      <c r="H24" s="8" t="n"/>
    </row>
    <row r="25" ht="20" customHeight="1">
      <c r="A25" s="21" t="n">
        <v>4</v>
      </c>
      <c r="B25" s="6" t="inlineStr">
        <is>
          <t>대상 인원과 출석·불참·위임의 합이 일치한다</t>
        </is>
      </c>
      <c r="C25" s="7" t="n"/>
      <c r="D25" s="7" t="n"/>
      <c r="E25" s="7" t="n"/>
      <c r="F25" s="8" t="n"/>
      <c r="G25" s="37" t="n"/>
      <c r="H25" s="8" t="n"/>
    </row>
    <row r="26" ht="20" customHeight="1">
      <c r="A26" s="21" t="n">
        <v>5</v>
      </c>
      <c r="B26" s="6" t="inlineStr">
        <is>
          <t>안건마다 배정 시간과 유형이 있고, 합계가 소요 시간을 넘지 않는다</t>
        </is>
      </c>
      <c r="C26" s="7" t="n"/>
      <c r="D26" s="7" t="n"/>
      <c r="E26" s="7" t="n"/>
      <c r="F26" s="8" t="n"/>
      <c r="G26" s="37" t="n"/>
      <c r="H26" s="8" t="n"/>
    </row>
    <row r="27" ht="20" customHeight="1">
      <c r="A27" s="21" t="n">
        <v>6</v>
      </c>
      <c r="B27" s="6" t="inlineStr">
        <is>
          <t>논의와 결정이 서로 다른 칸에 적혀 있다</t>
        </is>
      </c>
      <c r="C27" s="7" t="n"/>
      <c r="D27" s="7" t="n"/>
      <c r="E27" s="7" t="n"/>
      <c r="F27" s="8" t="n"/>
      <c r="G27" s="37" t="n"/>
      <c r="H27" s="8" t="n"/>
    </row>
    <row r="28" ht="20" customHeight="1">
      <c r="A28" s="21" t="n">
        <v>7</v>
      </c>
      <c r="B28" s="6" t="inlineStr">
        <is>
          <t>결정 결과(가결·보류 등)가 선택되어 있다</t>
        </is>
      </c>
      <c r="C28" s="7" t="n"/>
      <c r="D28" s="7" t="n"/>
      <c r="E28" s="7" t="n"/>
      <c r="F28" s="8" t="n"/>
      <c r="G28" s="37" t="n"/>
      <c r="H28" s="8" t="n"/>
    </row>
    <row r="29" ht="20" customHeight="1">
      <c r="A29" s="21" t="n">
        <v>8</v>
      </c>
      <c r="B29" s="6" t="inlineStr">
        <is>
          <t>실행과제마다 담당 1인, 완료 기준, 기한, 상태가 있다</t>
        </is>
      </c>
      <c r="C29" s="7" t="n"/>
      <c r="D29" s="7" t="n"/>
      <c r="E29" s="7" t="n"/>
      <c r="F29" s="8" t="n"/>
      <c r="G29" s="37" t="n"/>
      <c r="H29" s="8" t="n"/>
    </row>
    <row r="30" ht="20" customHeight="1">
      <c r="A30" s="21" t="n">
        <v>9</v>
      </c>
      <c r="B30" s="6" t="inlineStr">
        <is>
          <t>전회 과제의 이행 결과를 확인했다</t>
        </is>
      </c>
      <c r="C30" s="7" t="n"/>
      <c r="D30" s="7" t="n"/>
      <c r="E30" s="7" t="n"/>
      <c r="F30" s="8" t="n"/>
      <c r="G30" s="37" t="n"/>
      <c r="H30" s="8" t="n"/>
    </row>
    <row r="31" ht="20" customHeight="1">
      <c r="A31" s="21" t="n">
        <v>10</v>
      </c>
      <c r="B31" s="6" t="inlineStr">
        <is>
          <t>다음 회의 일정이 있거나, 미정이면 특이사항에 이유가 있다</t>
        </is>
      </c>
      <c r="C31" s="7" t="n"/>
      <c r="D31" s="7" t="n"/>
      <c r="E31" s="7" t="n"/>
      <c r="F31" s="8" t="n"/>
      <c r="G31" s="37" t="n"/>
      <c r="H31" s="8" t="n"/>
    </row>
    <row r="32" ht="20" customHeight="1">
      <c r="A32" s="21" t="n">
        <v>11</v>
      </c>
      <c r="B32" s="6" t="inlineStr">
        <is>
          <t>첨부 이름과 배포 대상·방법이 적혀 있다</t>
        </is>
      </c>
      <c r="C32" s="7" t="n"/>
      <c r="D32" s="7" t="n"/>
      <c r="E32" s="7" t="n"/>
      <c r="F32" s="8" t="n"/>
      <c r="G32" s="37" t="n"/>
      <c r="H32" s="8" t="n"/>
    </row>
    <row r="33" ht="20" customHeight="1">
      <c r="A33" s="21" t="n">
        <v>12</v>
      </c>
      <c r="B33" s="6" t="inlineStr">
        <is>
          <t>작성·검토·승인란이 비어 있지 않다</t>
        </is>
      </c>
      <c r="C33" s="7" t="n"/>
      <c r="D33" s="7" t="n"/>
      <c r="E33" s="7" t="n"/>
      <c r="F33" s="8" t="n"/>
      <c r="G33" s="37" t="n"/>
      <c r="H33" s="8" t="n"/>
    </row>
    <row r="34" ht="24" customHeight="1">
      <c r="A34" s="23" t="inlineStr">
        <is>
          <t>양호 항목  /  점검한 항목  /  배포 판단</t>
        </is>
      </c>
      <c r="B34" s="7" t="n"/>
      <c r="C34" s="7" t="n"/>
      <c r="D34" s="7" t="n"/>
      <c r="E34" s="7" t="n"/>
      <c r="F34" s="8" t="n"/>
      <c r="G34" s="54">
        <f>IF(COUNTIF(G22:G33,"&lt;&gt;")=0,"-",COUNTIF(G22:G33,"양호")&amp;" / "&amp;COUNTA(G22:G33)&amp;IF(COUNTIF(G22:G33,"양호")&gt;=10,"   배포 가능","   보완 후 배포"))</f>
        <v/>
      </c>
      <c r="H34" s="8" t="n"/>
    </row>
    <row r="36" ht="22" customHeight="1">
      <c r="A36" s="46" t="inlineStr">
        <is>
          <t>파일·번호·대장</t>
        </is>
      </c>
      <c r="B36" s="7" t="n"/>
      <c r="C36" s="7" t="n"/>
      <c r="D36" s="7" t="n"/>
      <c r="E36" s="7" t="n"/>
      <c r="F36" s="7" t="n"/>
      <c r="G36" s="7" t="n"/>
      <c r="H36" s="8" t="n"/>
    </row>
    <row r="37" ht="22" customHeight="1">
      <c r="A37" s="49" t="inlineStr">
        <is>
          <t>문서번호  예: SOL-MTG-2026-014.  부서코드, MTG, 연도, 일련번호 순서로 고정하고 빠지는 번호 없이 이어 갑니다.</t>
        </is>
      </c>
      <c r="B37" s="7" t="n"/>
      <c r="C37" s="7" t="n"/>
      <c r="D37" s="7" t="n"/>
      <c r="E37" s="7" t="n"/>
      <c r="F37" s="7" t="n"/>
      <c r="G37" s="7" t="n"/>
      <c r="H37" s="8" t="n"/>
    </row>
    <row r="38" ht="22" customHeight="1">
      <c r="A38" s="55" t="inlineStr">
        <is>
          <t>파일 이름  예: 회의록_20261013_주간점검.xlsx.  날짜는 회의일, 제목은 회의명을 짧게 줄인 말입니다.</t>
        </is>
      </c>
      <c r="B38" s="7" t="n"/>
      <c r="C38" s="7" t="n"/>
      <c r="D38" s="7" t="n"/>
      <c r="E38" s="7" t="n"/>
      <c r="F38" s="7" t="n"/>
      <c r="G38" s="7" t="n"/>
      <c r="H38" s="8" t="n"/>
    </row>
    <row r="39" ht="22" customHeight="1">
      <c r="A39" s="49" t="inlineStr">
        <is>
          <t>실행과제 대장  회의가 끝나면 과제를 [실행과제대장]으로 옮깁니다. 상태와 완료일을 갱신하면 지연일수가 계산됩니다.</t>
        </is>
      </c>
      <c r="B39" s="7" t="n"/>
      <c r="C39" s="7" t="n"/>
      <c r="D39" s="7" t="n"/>
      <c r="E39" s="7" t="n"/>
      <c r="F39" s="7" t="n"/>
      <c r="G39" s="7" t="n"/>
      <c r="H39" s="8" t="n"/>
    </row>
    <row r="40" ht="22" customHeight="1">
      <c r="A40" s="55" t="inlineStr">
        <is>
          <t>배포기한  회의일 다음 영업일로 계산됩니다. 공휴일은 포함하지 않으므로, 휴일이면 그 칸을 직접 고칩니다.</t>
        </is>
      </c>
      <c r="B40" s="7" t="n"/>
      <c r="C40" s="7" t="n"/>
      <c r="D40" s="7" t="n"/>
      <c r="E40" s="7" t="n"/>
      <c r="F40" s="7" t="n"/>
      <c r="G40" s="7" t="n"/>
      <c r="H40" s="8" t="n"/>
    </row>
    <row r="41" ht="22" customHeight="1">
      <c r="A41" s="49" t="inlineStr">
        <is>
          <t>행이 부족할 때  같은 구역의 마지막 입력 행을 복사해 아래에 넣습니다. 번호·드롭다운·경고색이 함께 복사됩니다.</t>
        </is>
      </c>
      <c r="B41" s="7" t="n"/>
      <c r="C41" s="7" t="n"/>
      <c r="D41" s="7" t="n"/>
      <c r="E41" s="7" t="n"/>
      <c r="F41" s="7" t="n"/>
      <c r="G41" s="7" t="n"/>
      <c r="H41" s="8" t="n"/>
    </row>
    <row r="42" ht="22" customHeight="1">
      <c r="A42" s="55" t="inlineStr">
        <is>
          <t>목록을 늘릴 때  [목록] 시트를 숨김 해제한 뒤 항목을 추가하고, 수식 &gt; 이름 관리자에서 해당 이름의 범위를 늘립니다.</t>
        </is>
      </c>
      <c r="B42" s="7" t="n"/>
      <c r="C42" s="7" t="n"/>
      <c r="D42" s="7" t="n"/>
      <c r="E42" s="7" t="n"/>
      <c r="F42" s="7" t="n"/>
      <c r="G42" s="7" t="n"/>
      <c r="H42" s="8" t="n"/>
    </row>
    <row r="44" ht="36" customHeight="1">
      <c r="A44" s="56" t="inlineStr">
        <is>
          <t>색의 의미    황색 입력    녹색 자동계산    청색 진행·조건부    녹색 글자 완료·일치    적색 누락·지연·불일치.  적색이 남아 있으면 배포하지 않습니다.</t>
        </is>
      </c>
      <c r="B44" s="7" t="n"/>
      <c r="C44" s="7" t="n"/>
      <c r="D44" s="7" t="n"/>
      <c r="E44" s="7" t="n"/>
      <c r="F44" s="7" t="n"/>
      <c r="G44" s="7" t="n"/>
      <c r="H44" s="8" t="n"/>
    </row>
  </sheetData>
  <mergeCells count="59">
    <mergeCell ref="G21:H21"/>
    <mergeCell ref="A17:D17"/>
    <mergeCell ref="C10:H10"/>
    <mergeCell ref="A39:H39"/>
    <mergeCell ref="B25:F25"/>
    <mergeCell ref="C9:H9"/>
    <mergeCell ref="G27:H27"/>
    <mergeCell ref="E16:H16"/>
    <mergeCell ref="B31:F31"/>
    <mergeCell ref="A36:H36"/>
    <mergeCell ref="G23:H23"/>
    <mergeCell ref="B22:F22"/>
    <mergeCell ref="A1:H1"/>
    <mergeCell ref="B27:F27"/>
    <mergeCell ref="A13:D13"/>
    <mergeCell ref="B21:F21"/>
    <mergeCell ref="E18:H18"/>
    <mergeCell ref="A15:D15"/>
    <mergeCell ref="A41:H41"/>
    <mergeCell ref="C8:H8"/>
    <mergeCell ref="B23:F23"/>
    <mergeCell ref="G28:H28"/>
    <mergeCell ref="A37:H37"/>
    <mergeCell ref="C7:H7"/>
    <mergeCell ref="A12:H12"/>
    <mergeCell ref="E14:H14"/>
    <mergeCell ref="B29:F29"/>
    <mergeCell ref="E17:H17"/>
    <mergeCell ref="G34:H34"/>
    <mergeCell ref="G24:H24"/>
    <mergeCell ref="G30:H30"/>
    <mergeCell ref="A2:H2"/>
    <mergeCell ref="B28:F28"/>
    <mergeCell ref="G33:H33"/>
    <mergeCell ref="A42:H42"/>
    <mergeCell ref="A34:F34"/>
    <mergeCell ref="A16:D16"/>
    <mergeCell ref="G26:H26"/>
    <mergeCell ref="E13:H13"/>
    <mergeCell ref="G29:H29"/>
    <mergeCell ref="A4:H4"/>
    <mergeCell ref="C6:H6"/>
    <mergeCell ref="A18:D18"/>
    <mergeCell ref="B30:F30"/>
    <mergeCell ref="B24:F24"/>
    <mergeCell ref="A20:H20"/>
    <mergeCell ref="C5:H5"/>
    <mergeCell ref="G32:H32"/>
    <mergeCell ref="G25:H25"/>
    <mergeCell ref="B33:F33"/>
    <mergeCell ref="A38:H38"/>
    <mergeCell ref="E15:H15"/>
    <mergeCell ref="G31:H31"/>
    <mergeCell ref="A44:H44"/>
    <mergeCell ref="G22:H22"/>
    <mergeCell ref="B32:F32"/>
    <mergeCell ref="B26:F26"/>
    <mergeCell ref="A14:D14"/>
    <mergeCell ref="A40:H40"/>
  </mergeCells>
  <conditionalFormatting sqref="G34">
    <cfRule type="expression" priority="1" dxfId="7">
      <formula>ISNUMBER(SEARCH("배포 가능",G34))</formula>
    </cfRule>
    <cfRule type="expression" priority="2" dxfId="8">
      <formula>ISNUMBER(SEARCH("보완",G34))</formula>
    </cfRule>
  </conditionalFormatting>
  <conditionalFormatting sqref="G22:G33">
    <cfRule type="cellIs" priority="3" operator="equal" dxfId="2">
      <formula>"양호"</formula>
    </cfRule>
    <cfRule type="cellIs" priority="4" operator="equal" dxfId="0">
      <formula>"보완"</formula>
    </cfRule>
    <cfRule type="cellIs" priority="5" operator="equal" dxfId="4">
      <formula>"해당없음"</formula>
    </cfRule>
  </conditionalFormatting>
  <dataValidations count="1">
    <dataValidation sqref="G22:G33" showDropDown="0" showInputMessage="0" showErrorMessage="1" allowBlank="1" errorTitle="입력 확인" error="목록에 있는 값을 선택해 주세요." type="list">
      <formula1>=ListCheck</formula1>
    </dataValidation>
  </dataValidations>
  <printOptions horizontalCentered="1"/>
  <pageMargins left="0.45" right="0.45" top="0.5" bottom="0.42" header="0.2" footer="0.2"/>
  <pageSetup orientation="landscape" paperSize="9" scale="100" fitToHeight="1" fitToWidth="1" pageOrder="downThenOver"/>
  <headerFooter>
    <oddHeader>&amp;L&amp;"맑은 고딕,Bold"&amp;9라인소프트(주)&amp;R&amp;"맑은 고딕"&amp;9회의록</oddHeader>
    <oddFooter>&amp;L&amp;"맑은 고딕"&amp;8작성기준&amp;C&amp;"맑은 고딕"&amp;8&amp;P / &amp;N&amp;R&amp;"맑은 고딕"&amp;8종료 후 1영업일 내 배포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E99A4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9" t="inlineStr">
        <is>
          <t>보안등급</t>
        </is>
      </c>
      <c r="B1" s="9" t="inlineStr">
        <is>
          <t>보존기간</t>
        </is>
      </c>
      <c r="C1" s="9" t="inlineStr">
        <is>
          <t>문서상태</t>
        </is>
      </c>
      <c r="D1" s="9" t="inlineStr">
        <is>
          <t>회의구분</t>
        </is>
      </c>
      <c r="E1" s="9" t="inlineStr">
        <is>
          <t>진행방식</t>
        </is>
      </c>
      <c r="F1" s="9" t="inlineStr">
        <is>
          <t>역할</t>
        </is>
      </c>
      <c r="G1" s="9" t="inlineStr">
        <is>
          <t>참석구분</t>
        </is>
      </c>
      <c r="H1" s="9" t="inlineStr">
        <is>
          <t>확인</t>
        </is>
      </c>
      <c r="I1" s="9" t="inlineStr">
        <is>
          <t>안건유형</t>
        </is>
      </c>
      <c r="J1" s="9" t="inlineStr">
        <is>
          <t>결정결과</t>
        </is>
      </c>
      <c r="K1" s="9" t="inlineStr">
        <is>
          <t>우선순위</t>
        </is>
      </c>
      <c r="L1" s="9" t="inlineStr">
        <is>
          <t>과제상태</t>
        </is>
      </c>
      <c r="M1" s="9" t="inlineStr">
        <is>
          <t>이행결과</t>
        </is>
      </c>
      <c r="N1" s="9" t="inlineStr">
        <is>
          <t>배포방법</t>
        </is>
      </c>
      <c r="O1" s="9" t="inlineStr">
        <is>
          <t>점검</t>
        </is>
      </c>
    </row>
    <row r="2">
      <c r="A2" s="57" t="inlineStr">
        <is>
          <t>일반</t>
        </is>
      </c>
      <c r="B2" s="57" t="inlineStr">
        <is>
          <t>1년</t>
        </is>
      </c>
      <c r="C2" s="57" t="inlineStr">
        <is>
          <t>초안</t>
        </is>
      </c>
      <c r="D2" s="57" t="inlineStr">
        <is>
          <t>정기</t>
        </is>
      </c>
      <c r="E2" s="57" t="inlineStr">
        <is>
          <t>대면</t>
        </is>
      </c>
      <c r="F2" s="57" t="inlineStr">
        <is>
          <t>주재</t>
        </is>
      </c>
      <c r="G2" s="57" t="inlineStr">
        <is>
          <t>참석</t>
        </is>
      </c>
      <c r="H2" s="57" t="inlineStr">
        <is>
          <t>확인</t>
        </is>
      </c>
      <c r="I2" s="57" t="inlineStr">
        <is>
          <t>정보공유</t>
        </is>
      </c>
      <c r="J2" s="57" t="inlineStr">
        <is>
          <t>가결</t>
        </is>
      </c>
      <c r="K2" s="57" t="inlineStr">
        <is>
          <t>긴급</t>
        </is>
      </c>
      <c r="L2" s="57" t="inlineStr">
        <is>
          <t>미착수</t>
        </is>
      </c>
      <c r="M2" s="57" t="inlineStr">
        <is>
          <t>완료</t>
        </is>
      </c>
      <c r="N2" s="57" t="inlineStr">
        <is>
          <t>이메일</t>
        </is>
      </c>
      <c r="O2" s="57" t="inlineStr">
        <is>
          <t>양호</t>
        </is>
      </c>
    </row>
    <row r="3">
      <c r="A3" s="57" t="inlineStr">
        <is>
          <t>사내한</t>
        </is>
      </c>
      <c r="B3" s="57" t="inlineStr">
        <is>
          <t>3년</t>
        </is>
      </c>
      <c r="C3" s="57" t="inlineStr">
        <is>
          <t>회람중</t>
        </is>
      </c>
      <c r="D3" s="57" t="inlineStr">
        <is>
          <t>임시</t>
        </is>
      </c>
      <c r="E3" s="57" t="inlineStr">
        <is>
          <t>화상</t>
        </is>
      </c>
      <c r="F3" s="57" t="inlineStr">
        <is>
          <t>서기</t>
        </is>
      </c>
      <c r="G3" s="57" t="inlineStr">
        <is>
          <t>화상참석</t>
        </is>
      </c>
      <c r="H3" s="57" t="inlineStr">
        <is>
          <t>서면확인</t>
        </is>
      </c>
      <c r="I3" s="57" t="inlineStr">
        <is>
          <t>논의</t>
        </is>
      </c>
      <c r="J3" s="57" t="inlineStr">
        <is>
          <t>조건부 가결</t>
        </is>
      </c>
      <c r="K3" s="57" t="inlineStr">
        <is>
          <t>높음</t>
        </is>
      </c>
      <c r="L3" s="57" t="inlineStr">
        <is>
          <t>진행</t>
        </is>
      </c>
      <c r="M3" s="57" t="inlineStr">
        <is>
          <t>진행</t>
        </is>
      </c>
      <c r="N3" s="57" t="inlineStr">
        <is>
          <t>메신저</t>
        </is>
      </c>
      <c r="O3" s="57" t="inlineStr">
        <is>
          <t>보완</t>
        </is>
      </c>
    </row>
    <row r="4">
      <c r="A4" s="57" t="inlineStr">
        <is>
          <t>대외비</t>
        </is>
      </c>
      <c r="B4" s="57" t="inlineStr">
        <is>
          <t>5년</t>
        </is>
      </c>
      <c r="C4" s="57" t="inlineStr">
        <is>
          <t>확정</t>
        </is>
      </c>
      <c r="D4" s="57" t="inlineStr">
        <is>
          <t>킥오프</t>
        </is>
      </c>
      <c r="E4" s="57" t="inlineStr">
        <is>
          <t>하이브리드</t>
        </is>
      </c>
      <c r="F4" s="57" t="inlineStr">
        <is>
          <t>참석</t>
        </is>
      </c>
      <c r="G4" s="57" t="inlineStr">
        <is>
          <t>불참</t>
        </is>
      </c>
      <c r="H4" s="57" t="inlineStr">
        <is>
          <t>미확인</t>
        </is>
      </c>
      <c r="I4" s="57" t="inlineStr">
        <is>
          <t>의사결정</t>
        </is>
      </c>
      <c r="J4" s="57" t="inlineStr">
        <is>
          <t>부결</t>
        </is>
      </c>
      <c r="K4" s="57" t="inlineStr">
        <is>
          <t>보통</t>
        </is>
      </c>
      <c r="L4" s="57" t="inlineStr">
        <is>
          <t>완료</t>
        </is>
      </c>
      <c r="M4" s="57" t="inlineStr">
        <is>
          <t>지연</t>
        </is>
      </c>
      <c r="N4" s="57" t="inlineStr">
        <is>
          <t>공식시스템</t>
        </is>
      </c>
      <c r="O4" s="57" t="inlineStr">
        <is>
          <t>해당없음</t>
        </is>
      </c>
    </row>
    <row r="5">
      <c r="A5" s="57" t="inlineStr">
        <is>
          <t>극비</t>
        </is>
      </c>
      <c r="B5" s="57" t="inlineStr">
        <is>
          <t>영구</t>
        </is>
      </c>
      <c r="C5" s="57" t="inlineStr">
        <is>
          <t>폐기</t>
        </is>
      </c>
      <c r="D5" s="57" t="inlineStr">
        <is>
          <t>착수</t>
        </is>
      </c>
      <c r="F5" s="57" t="inlineStr">
        <is>
          <t>발표</t>
        </is>
      </c>
      <c r="G5" s="57" t="inlineStr">
        <is>
          <t>위임</t>
        </is>
      </c>
      <c r="I5" s="57" t="inlineStr">
        <is>
          <t>보고</t>
        </is>
      </c>
      <c r="J5" s="57" t="inlineStr">
        <is>
          <t>보류</t>
        </is>
      </c>
      <c r="K5" s="57" t="inlineStr">
        <is>
          <t>낮음</t>
        </is>
      </c>
      <c r="L5" s="57" t="inlineStr">
        <is>
          <t>보류</t>
        </is>
      </c>
      <c r="M5" s="57" t="inlineStr">
        <is>
          <t>변경</t>
        </is>
      </c>
      <c r="N5" s="57" t="inlineStr">
        <is>
          <t>출력</t>
        </is>
      </c>
    </row>
    <row r="6">
      <c r="D6" s="57" t="inlineStr">
        <is>
          <t>중간점검</t>
        </is>
      </c>
      <c r="F6" s="57" t="inlineStr">
        <is>
          <t>배석</t>
        </is>
      </c>
      <c r="I6" s="57" t="inlineStr">
        <is>
          <t>기타</t>
        </is>
      </c>
      <c r="J6" s="57" t="inlineStr">
        <is>
          <t>결정 없음</t>
        </is>
      </c>
      <c r="L6" s="57" t="inlineStr">
        <is>
          <t>취소</t>
        </is>
      </c>
      <c r="M6" s="57" t="inlineStr">
        <is>
          <t>취소</t>
        </is>
      </c>
    </row>
    <row r="7">
      <c r="D7" s="57" t="inlineStr">
        <is>
          <t>완료보고</t>
        </is>
      </c>
    </row>
    <row r="8">
      <c r="D8" s="57" t="inlineStr">
        <is>
          <t>의사결정</t>
        </is>
      </c>
    </row>
    <row r="9">
      <c r="D9" s="57" t="inlineStr">
        <is>
          <t>이슈대응</t>
        </is>
      </c>
    </row>
    <row r="10">
      <c r="D10" s="57" t="inlineStr">
        <is>
          <t>워크숍</t>
        </is>
      </c>
    </row>
    <row r="11">
      <c r="D11" s="57" t="inlineStr">
        <is>
          <t>기타</t>
        </is>
      </c>
    </row>
    <row r="16" ht="32" customHeight="1">
      <c r="A16" s="58" t="inlineStr">
        <is>
          <t>값을 고치면 양식의 드롭다운이 바뀝니다. 항목을 추가한 뒤에는 수식 &gt; 이름 관리자에서 해당 이름의 범위도 같은 열의 마지막 항목까지 늘리세요.</t>
        </is>
      </c>
    </row>
  </sheetData>
  <mergeCells count="1">
    <mergeCell ref="A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라인소프트(주)</dc:creator>
  <dc:title xmlns:dc="http://purl.org/dc/elements/1.1/">회의록 양식</dc:title>
  <dc:description xmlns:dc="http://purl.org/dc/elements/1.1/">논의와 결정을 분리하고 실행과제의 담당·기한·완료기준을 남기는 회의록 양식</dc:description>
  <dc:subject xmlns:dc="http://purl.org/dc/elements/1.1/">회의록</dc:subject>
  <dcterms:created xmlns:dcterms="http://purl.org/dc/terms/" xmlns:xsi="http://www.w3.org/2001/XMLSchema-instance" xsi:type="dcterms:W3CDTF">2026-10-13T01:47:26Z</dcterms:created>
  <dcterms:modified xmlns:dcterms="http://purl.org/dc/terms/" xmlns:xsi="http://www.w3.org/2001/XMLSchema-instance" xsi:type="dcterms:W3CDTF">2026-10-13T01:47:26Z</dcterms:modified>
  <cp:category>양식</cp:category>
  <cp:keywords>회의록,실행과제,라인소프트</cp:keywords>
</cp:coreProperties>
</file>